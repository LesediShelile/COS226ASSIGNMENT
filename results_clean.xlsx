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  <sheet name="Raw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<sst xmlns="http://schemas.openxmlformats.org/spreadsheetml/2006/main" count="357" uniqueCount="157">
  <si>
    <t xml:space="preserve">Task 3 - Experimental results</t>
  </si>
  <si>
    <t xml:space="preserve">Environment and parameters</t>
  </si>
  <si>
    <t xml:space="preserve">Item</t>
  </si>
  <si>
    <t xml:space="preserve">Value</t>
  </si>
  <si>
    <t xml:space="preserve">Java</t>
  </si>
  <si>
    <t xml:space="preserve">1.8.0_452 (OpenJDK 64-Bit Server VM)</t>
  </si>
  <si>
    <t xml:space="preserve">OS</t>
  </si>
  <si>
    <t xml:space="preserve">Linux amd64</t>
  </si>
  <si>
    <t xml:space="preserve">Logical CPU cores available</t>
  </si>
  <si>
    <t xml:space="preserve">Bidding iterations per thread (constant for all locks)</t>
  </si>
  <si>
    <t xml:space="preserve">Measured runs per (lock, threads)</t>
  </si>
  <si>
    <t xml:space="preserve">5 (+1 discarded warm-up)</t>
  </si>
  <si>
    <t xml:space="preserve">Table 1 - Total execution time</t>
  </si>
  <si>
    <t xml:space="preserve">Mean +- sample standard deviation over 5 runs, in milliseconds.</t>
  </si>
  <si>
    <t xml:space="preserve">Threads</t>
  </si>
  <si>
    <t xml:space="preserve">TTAS (ms)</t>
  </si>
  <si>
    <t xml:space="preserve">CLH (ms)</t>
  </si>
  <si>
    <t xml:space="preserve">MCS (ms)</t>
  </si>
  <si>
    <t xml:space="preserve">1.39 ± 0.77</t>
  </si>
  <si>
    <t xml:space="preserve">2.77 ± 2.11</t>
  </si>
  <si>
    <t xml:space="preserve">2.13 ± 1.65</t>
  </si>
  <si>
    <t xml:space="preserve">1.09 ± 0.35</t>
  </si>
  <si>
    <t xml:space="preserve">2.13 ± 1.04</t>
  </si>
  <si>
    <t xml:space="preserve">1.25 ± 0.41</t>
  </si>
  <si>
    <t xml:space="preserve">2.02 ± 0.27</t>
  </si>
  <si>
    <t xml:space="preserve">10.69 ± 15.18</t>
  </si>
  <si>
    <t xml:space="preserve">229.96 ± 509.71</t>
  </si>
  <si>
    <t xml:space="preserve">8.10 ± 4.64</t>
  </si>
  <si>
    <t xml:space="preserve">10474.26 ± 11407.16</t>
  </si>
  <si>
    <t xml:space="preserve">174.74 ± 377.08</t>
  </si>
  <si>
    <t xml:space="preserve">Table 1b - Time per bid (total time / total bids)</t>
  </si>
  <si>
    <t xml:space="preserve">Each thread does the same number of iterations, so total work grows with threads; this normalised value isolates the cost of contention.</t>
  </si>
  <si>
    <t xml:space="preserve">TTAS (us/bid)</t>
  </si>
  <si>
    <t xml:space="preserve">CLH (us/bid)</t>
  </si>
  <si>
    <t xml:space="preserve">MCS (us/bid)</t>
  </si>
  <si>
    <t xml:space="preserve">Table 2 - Workload verification (total bids and final highest bid)</t>
  </si>
  <si>
    <t xml:space="preserve">Every bid is exactly 1.0 above the previous highest, so with correct mutual exclusion final highest bid = total bids = threads x iterations.</t>
  </si>
  <si>
    <t xml:space="preserve">Lock</t>
  </si>
  <si>
    <t xml:space="preserve">Expected bids</t>
  </si>
  <si>
    <t xml:space="preserve">Total bids (mean)</t>
  </si>
  <si>
    <t xml:space="preserve">Final highest bid (mean)</t>
  </si>
  <si>
    <t xml:space="preserve">Correct runs</t>
  </si>
  <si>
    <t xml:space="preserve">TTAS</t>
  </si>
  <si>
    <t xml:space="preserve">CLH</t>
  </si>
  <si>
    <t xml:space="preserve">MCS</t>
  </si>
  <si>
    <t xml:space="preserve">Table 3 - Bids won by each bidder (whole auction)</t>
  </si>
  <si>
    <t xml:space="preserve">Mean over runs. B0..B15 are the bidder ids.</t>
  </si>
  <si>
    <t xml:space="preserve">B0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</si>
  <si>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</si>
  <si>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</si>
  <si>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</si>
  <si>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</si>
  <si>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</si>
  <si>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</si>
  <si>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</si>
  <si>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</si>
  <si>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</si>
  <si>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</si>
  <si>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</si>
  <si>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</si>
  <si>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B13</t>
  </si>
  <si>
    <t xml:space="preserve">B14</t>
  </si>
  <si>
    <t xml:space="preserve">B15</t>
  </si>
  <si>
    <t xml:space="preserve">Table 4 - Additional measurement: time spent waiting to acquire the lock</t>
  </si>
  <si>
    <t xml:space="preserve">Per acquisition (nanoTime before lock() to after it returns), all acquisitions of all threads pooled per run. Mean/P99/max averaged over runs; "worst max" is the largest single wait in any run. Units: microseconds.</t>
  </si>
  <si>
    <t xml:space="preserve">Mean wait</t>
  </si>
  <si>
    <t xml:space="preserve">P99 wait</t>
  </si>
  <si>
    <t xml:space="preserve">Max wait (mean of runs)</t>
  </si>
  <si>
    <t xml:space="preserve">Worst max (any run)</t>
  </si>
  <si>
    <t xml:space="preserve">Table 5 - Fairness (distribution of access to the auction)</t>
  </si>
  <si>
    <t xml:space="preserve">Whole-auction wins are fixed, so fairness is taken over the first half (bids 1 .. threads x iterations / 2) while all threads still compete. Fair share = iterations/2. Jain = (sum x)^2 / (n sum x^2); 1.0 = perfectly even.</t>
  </si>
  <si>
    <t xml:space="preserve">Fair share</t>
  </si>
  <si>
    <t xml:space="preserve">Min bidder</t>
  </si>
  <si>
    <t xml:space="preserve">Max bidder</t>
  </si>
  <si>
    <t xml:space="preserve">Jain index</t>
  </si>
  <si>
    <t xml:space="preserve">Finish-time spread (ms)</t>
  </si>
  <si>
    <t xml:space="preserve">Table 5b - Bids won per bidder in the first half of the auction</t>
  </si>
  <si>
    <t xml:space="preserve">Mean over runs.</t>
  </si>
  <si>
    <t xml:space="preserve">Min/max bidder (Table 5), std dev (Table 1) and per-bidder means (Tables 3, 5b) are computed from the Raw Data sheet values; all other averages are live formulas on it.</t>
  </si>
  <si>
    <t xml:space="preserve">lock</t>
  </si>
  <si>
    <t xml:space="preserve">threads</t>
  </si>
  <si>
    <t xml:space="preserve">run</t>
  </si>
  <si>
    <t xml:space="preserve">iterations</t>
  </si>
  <si>
    <t xml:space="preserve">exec_ns</t>
  </si>
  <si>
    <t xml:space="preserve">total_bids</t>
  </si>
  <si>
    <t xml:space="preserve">final_highest_bid</t>
  </si>
  <si>
    <t xml:space="preserve">final_highest_bidder</t>
  </si>
  <si>
    <t xml:space="preserve">mean_wait_ns</t>
  </si>
  <si>
    <t xml:space="preserve">p99_wait_ns</t>
  </si>
  <si>
    <t xml:space="preserve">max_wait_ns</t>
  </si>
  <si>
    <t xml:space="preserve">finish_spread_ns</t>
  </si>
  <si>
    <t xml:space="preserve">jain_first_half</t>
  </si>
  <si>
    <t xml:space="preserve">bids_won_per_bidder</t>
  </si>
  <si>
    <t xml:space="preserve">bids_won_first_half_per_bidder</t>
  </si>
  <si>
    <t xml:space="preserve">1000;1000</t>
  </si>
  <si>
    <t xml:space="preserve">603;397</t>
  </si>
  <si>
    <t xml:space="preserve">640;360</t>
  </si>
  <si>
    <t xml:space="preserve">553;447</t>
  </si>
  <si>
    <t xml:space="preserve">678;322</t>
  </si>
  <si>
    <t xml:space="preserve">652;348</t>
  </si>
  <si>
    <t xml:space="preserve">1000;1000;1000;1000</t>
  </si>
  <si>
    <t xml:space="preserve">734;812;247;207</t>
  </si>
  <si>
    <t xml:space="preserve">205;522;657;616</t>
  </si>
  <si>
    <t xml:space="preserve">1000;461;0;539</t>
  </si>
  <si>
    <t xml:space="preserve">1000;1000;0;0</t>
  </si>
  <si>
    <t xml:space="preserve">172;1000;707;121</t>
  </si>
  <si>
    <t xml:space="preserve">1000;1000;1000;1000;1000;1000;1000;1000</t>
  </si>
  <si>
    <t xml:space="preserve">1000;1000;1000;844;121;35;0;0</t>
  </si>
  <si>
    <t xml:space="preserve">1000;1000;235;800;161;145;551;108</t>
  </si>
  <si>
    <t xml:space="preserve">1000;1000;1000;1000;0;0;0;0</t>
  </si>
  <si>
    <t xml:space="preserve">1000;1000;1000;0;1000;0;0;0</t>
  </si>
  <si>
    <t xml:space="preserve">1000;989;373;1000;171;312;34;121</t>
  </si>
  <si>
    <t xml:space="preserve">1000;1000;1000;1000;1000;1000;1000;1000;1000;1000;1000;1000;1000;1000;1000;1000</t>
  </si>
  <si>
    <t xml:space="preserve">1000;1000;1000;369;786;1000;1000;974;143;113;245;221;104;45;0;0</t>
  </si>
  <si>
    <t xml:space="preserve">1000;1000;863;542;1000;940;1000;840;0;233;582;0;0;0;0;0</t>
  </si>
  <si>
    <t xml:space="preserve">1000;1000;560;559;511;1000;1000;956;225;218;0;0;0;0;0;971</t>
  </si>
  <si>
    <t xml:space="preserve">1000;1000;1000;1000;1000;1000;1000;84;916;0;0;0;0;0;0;0</t>
  </si>
  <si>
    <t xml:space="preserve">1000;1000;653;869;1000;1000;898;576;346;506;152;0;0;0;0;0</t>
  </si>
  <si>
    <t xml:space="preserve">484;516</t>
  </si>
  <si>
    <t xml:space="preserve">523;477</t>
  </si>
  <si>
    <t xml:space="preserve">552;448</t>
  </si>
  <si>
    <t xml:space="preserve">524;476</t>
  </si>
  <si>
    <t xml:space="preserve">606;394</t>
  </si>
  <si>
    <t xml:space="preserve">689;471;425;415</t>
  </si>
  <si>
    <t xml:space="preserve">528;616;571;285</t>
  </si>
  <si>
    <t xml:space="preserve">1000;573;427;0</t>
  </si>
  <si>
    <t xml:space="preserve">772;485;393;350</t>
  </si>
  <si>
    <t xml:space="preserve">1000;919;827;615;494;0;145;0</t>
  </si>
  <si>
    <t xml:space="preserve">1000;904;817;778;129;186;186;0</t>
  </si>
  <si>
    <t xml:space="preserve">1000;448;1000;1000;142;141;128;141</t>
  </si>
  <si>
    <t xml:space="preserve">1000;505;499;499;499;499;499;0</t>
  </si>
  <si>
    <t xml:space="preserve">1000;781;540;453;434;218;306;268</t>
  </si>
  <si>
    <t xml:space="preserve">1000;1000;1000;792;1000;308;833;743;338;142;142;141;141;140;140;140</t>
  </si>
  <si>
    <t xml:space="preserve">1000;981;552;553;552;552;552;363;363;362;362;362;362;362;361;361</t>
  </si>
  <si>
    <t xml:space="preserve">1000;1000;1000;1000;1000;1000;1000;1000;0;0;0;0;0;0;0;0</t>
  </si>
  <si>
    <t xml:space="preserve">1000;1000;1000;1000;1000;1000;384;382;154;155;155;155;154;154;154;153</t>
  </si>
  <si>
    <t xml:space="preserve">1000;1000;0;1000;1000;1000;0;1000;1000;1000;0;0;0;0;0;0</t>
  </si>
  <si>
    <t xml:space="preserve">509;491</t>
  </si>
  <si>
    <t xml:space="preserve">504;496</t>
  </si>
  <si>
    <t xml:space="preserve">585;415</t>
  </si>
  <si>
    <t xml:space="preserve">454;546</t>
  </si>
  <si>
    <t xml:space="preserve">374;626</t>
  </si>
  <si>
    <t xml:space="preserve">791;1000;130;79</t>
  </si>
  <si>
    <t xml:space="preserve">1000;743;257;0</t>
  </si>
  <si>
    <t xml:space="preserve">517;518;517;448</t>
  </si>
  <si>
    <t xml:space="preserve">910;441;338;311</t>
  </si>
  <si>
    <t xml:space="preserve">1000;374;344;282</t>
  </si>
  <si>
    <t xml:space="preserve">1000;634;605;458;412;325;295;271</t>
  </si>
  <si>
    <t xml:space="preserve">1000;695;568;467;423;349;285;213</t>
  </si>
  <si>
    <t xml:space="preserve">1000;1000;1000;849;151;0;0;0</t>
  </si>
  <si>
    <t xml:space="preserve">1000;807;562;460;404;397;20;350</t>
  </si>
  <si>
    <t xml:space="preserve">760;692;585;427;384;384;384;384</t>
  </si>
  <si>
    <t xml:space="preserve">1000;1000;975;1000;938;895;888;873;358;73;0;0;0;0;0;0</t>
  </si>
  <si>
    <t xml:space="preserve">1000;1000;1000;999;858;731;721;709;697;209;76;0;0;0;0;0</t>
  </si>
  <si>
    <t xml:space="preserve">1000;1000;1000;1000;909;843;767;749;667;63;2;0;0;0;0;0</t>
  </si>
  <si>
    <t xml:space="preserve">1000;1000;1000;1000;247;1000;925;948;880;0;0;0;0;0;0;0</t>
  </si>
  <si>
    <t xml:space="preserve">1000;1000;1000;1000;1000;989;914;893;204;0;0;0;0;0;0;0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</si>
</sst>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#,##0"/>
    <numFmt numFmtId="167" formatCode="0.0"/>
    <numFmt numFmtId="168" formatCode="#,##0.0"/>
    <numFmt numFmtId="169" formatCode="0"/>
    <numFmt numFmtId="170" formatCode="0.0000"/>
    <numFmt numFmtId="171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8" min="2" style="0" width="23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true" outlineLevel="0" collapsed="false">
      <c r="A4" s="3" t="s">
        <v>2</v>
      </c>
      <c r="B4" s="3"/>
      <c r="C4" s="3"/>
      <c r="D4" s="3" t="s">
        <v>3</v>
      </c>
      <c r="E4" s="3"/>
      <c r="F4" s="3"/>
    </row>
    <row r="5" customFormat="false" ht="15" hidden="false" customHeight="false" outlineLevel="0" collapsed="false">
      <c r="A5" s="4" t="s">
        <v>4</v>
      </c>
      <c r="B5" s="4"/>
      <c r="C5" s="4"/>
      <c r="D5" s="4" t="s">
        <v>5</v>
      </c>
      <c r="E5" s="4"/>
      <c r="F5" s="4"/>
    </row>
    <row r="6" customFormat="false" ht="15" hidden="false" customHeight="false" outlineLevel="0" collapsed="false">
      <c r="A6" s="4" t="s">
        <v>6</v>
      </c>
      <c r="B6" s="4"/>
      <c r="C6" s="4"/>
      <c r="D6" s="4" t="s">
        <v>7</v>
      </c>
      <c r="E6" s="4"/>
      <c r="F6" s="4"/>
    </row>
    <row r="7" customFormat="false" ht="15" hidden="false" customHeight="false" outlineLevel="0" collapsed="false">
      <c r="A7" s="4" t="s">
        <v>8</v>
      </c>
      <c r="B7" s="4"/>
      <c r="C7" s="4"/>
      <c r="D7" s="4" t="n">
        <v>8</v>
      </c>
      <c r="E7" s="4"/>
      <c r="F7" s="4"/>
    </row>
    <row r="8" customFormat="false" ht="15" hidden="false" customHeight="false" outlineLevel="0" collapsed="false">
      <c r="A8" s="4" t="s">
        <v>9</v>
      </c>
      <c r="B8" s="4"/>
      <c r="C8" s="4"/>
      <c r="D8" s="4" t="n">
        <v>1000</v>
      </c>
      <c r="E8" s="4"/>
      <c r="F8" s="4"/>
    </row>
    <row r="9" customFormat="false" ht="15" hidden="false" customHeight="false" outlineLevel="0" collapsed="false">
      <c r="A9" s="4" t="s">
        <v>10</v>
      </c>
      <c r="B9" s="4"/>
      <c r="C9" s="4"/>
      <c r="D9" s="4" t="s">
        <v>11</v>
      </c>
      <c r="E9" s="4"/>
      <c r="F9" s="4"/>
    </row>
    <row r="11" customFormat="false" ht="15" hidden="false" customHeight="false" outlineLevel="0" collapsed="false">
      <c r="A11" s="2" t="s">
        <v>12</v>
      </c>
    </row>
    <row r="12" customFormat="false" ht="15" hidden="false" customHeight="false" outlineLevel="0" collapsed="false">
      <c r="A12" s="5" t="s">
        <v>13</v>
      </c>
    </row>
    <row r="13" customFormat="false" ht="15" hidden="false" customHeight="false" outlineLevel="0" collapsed="false">
      <c r="A13" s="3" t="s">
        <v>14</v>
      </c>
      <c r="B13" s="3" t="s">
        <v>15</v>
      </c>
      <c r="C13" s="3" t="s">
        <v>16</v>
      </c>
      <c r="D13" s="3" t="s">
        <v>17</v>
      </c>
    </row>
    <row r="14" customFormat="false" ht="15" hidden="false" customHeight="false" outlineLevel="0" collapsed="false">
      <c r="A14" s="6" t="n">
        <v>2</v>
      </c>
      <c r="B14" s="6" t="s">
        <v>18</v>
      </c>
      <c r="C14" s="6" t="s">
        <v>19</v>
      </c>
      <c r="D14" s="6" t="s">
        <v>20</v>
      </c>
    </row>
    <row r="15" customFormat="false" ht="15" hidden="false" customHeight="false" outlineLevel="0" collapsed="false">
      <c r="A15" s="6" t="n">
        <v>4</v>
      </c>
      <c r="B15" s="6" t="s">
        <v>21</v>
      </c>
      <c r="C15" s="6" t="s">
        <v>22</v>
      </c>
      <c r="D15" s="6" t="s">
        <v>23</v>
      </c>
    </row>
    <row r="16" customFormat="false" ht="15" hidden="false" customHeight="false" outlineLevel="0" collapsed="false">
      <c r="A16" s="6" t="n">
        <v>8</v>
      </c>
      <c r="B16" s="6" t="s">
        <v>24</v>
      </c>
      <c r="C16" s="6" t="s">
        <v>25</v>
      </c>
      <c r="D16" s="6" t="s">
        <v>26</v>
      </c>
    </row>
    <row r="17" customFormat="false" ht="15" hidden="false" customHeight="false" outlineLevel="0" collapsed="false">
      <c r="A17" s="6" t="n">
        <v>16</v>
      </c>
      <c r="B17" s="6" t="s">
        <v>27</v>
      </c>
      <c r="C17" s="6" t="s">
        <v>28</v>
      </c>
      <c r="D17" s="6" t="s">
        <v>29</v>
      </c>
    </row>
    <row r="19" customFormat="false" ht="15" hidden="false" customHeight="false" outlineLevel="0" collapsed="false">
      <c r="A19" s="2" t="s">
        <v>30</v>
      </c>
    </row>
    <row r="20" customFormat="false" ht="15" hidden="false" customHeight="false" outlineLevel="0" collapsed="false">
      <c r="A20" s="5" t="s">
        <v>31</v>
      </c>
    </row>
    <row r="21" customFormat="false" ht="15" hidden="false" customHeight="false" outlineLevel="0" collapsed="false">
      <c r="A21" s="3" t="s">
        <v>14</v>
      </c>
      <c r="B21" s="3" t="s">
        <v>32</v>
      </c>
      <c r="C21" s="3" t="s">
        <v>33</v>
      </c>
      <c r="D21" s="3" t="s">
        <v>34</v>
      </c>
    </row>
    <row r="22" customFormat="false" ht="15" hidden="false" customHeight="false" outlineLevel="0" collapsed="false">
      <c r="A22" s="6" t="n">
        <v>2</v>
      </c>
      <c r="B22" s="7" t="n">
        <f aca="false">AVERAGEIFS('Raw Data'!$E$2:$E$61,'Raw Data'!$A$2:$A$61,"TTAS",'Raw Data'!$B$2:$B$61,$A22)/AVERAGEIFS('Raw Data'!$F$2:$F$61,'Raw Data'!$A$2:$A$61,"TTAS",'Raw Data'!$B$2:$B$61,$A22)/1000</f>
        <v>0.6952785</v>
      </c>
      <c r="C22" s="7" t="n">
        <f aca="false">AVERAGEIFS('Raw Data'!$E$2:$E$61,'Raw Data'!$A$2:$A$61,"CLH",'Raw Data'!$B$2:$B$61,$A22)/AVERAGEIFS('Raw Data'!$F$2:$F$61,'Raw Data'!$A$2:$A$61,"CLH",'Raw Data'!$B$2:$B$61,$A22)/1000</f>
        <v>1.3846682</v>
      </c>
      <c r="D22" s="7" t="n">
        <f aca="false">AVERAGEIFS('Raw Data'!$E$2:$E$61,'Raw Data'!$A$2:$A$61,"MCS",'Raw Data'!$B$2:$B$61,$A22)/AVERAGEIFS('Raw Data'!$F$2:$F$61,'Raw Data'!$A$2:$A$61,"MCS",'Raw Data'!$B$2:$B$61,$A22)/1000</f>
        <v>1.0667918</v>
      </c>
    </row>
    <row r="23" customFormat="false" ht="15" hidden="false" customHeight="false" outlineLevel="0" collapsed="false">
      <c r="A23" s="6" t="n">
        <v>4</v>
      </c>
      <c r="B23" s="7" t="n">
        <f aca="false">AVERAGEIFS('Raw Data'!$E$2:$E$61,'Raw Data'!$A$2:$A$61,"TTAS",'Raw Data'!$B$2:$B$61,$A23)/AVERAGEIFS('Raw Data'!$F$2:$F$61,'Raw Data'!$A$2:$A$61,"TTAS",'Raw Data'!$B$2:$B$61,$A23)/1000</f>
        <v>0.2731348</v>
      </c>
      <c r="C23" s="7" t="n">
        <f aca="false">AVERAGEIFS('Raw Data'!$E$2:$E$61,'Raw Data'!$A$2:$A$61,"CLH",'Raw Data'!$B$2:$B$61,$A23)/AVERAGEIFS('Raw Data'!$F$2:$F$61,'Raw Data'!$A$2:$A$61,"CLH",'Raw Data'!$B$2:$B$61,$A23)/1000</f>
        <v>0.5336074</v>
      </c>
      <c r="D23" s="7" t="n">
        <f aca="false">AVERAGEIFS('Raw Data'!$E$2:$E$61,'Raw Data'!$A$2:$A$61,"MCS",'Raw Data'!$B$2:$B$61,$A23)/AVERAGEIFS('Raw Data'!$F$2:$F$61,'Raw Data'!$A$2:$A$61,"MCS",'Raw Data'!$B$2:$B$61,$A23)/1000</f>
        <v>0.3120181</v>
      </c>
    </row>
    <row r="24" customFormat="false" ht="15" hidden="false" customHeight="false" outlineLevel="0" collapsed="false">
      <c r="A24" s="6" t="n">
        <v>8</v>
      </c>
      <c r="B24" s="7" t="n">
        <f aca="false">AVERAGEIFS('Raw Data'!$E$2:$E$61,'Raw Data'!$A$2:$A$61,"TTAS",'Raw Data'!$B$2:$B$61,$A24)/AVERAGEIFS('Raw Data'!$F$2:$F$61,'Raw Data'!$A$2:$A$61,"TTAS",'Raw Data'!$B$2:$B$61,$A24)/1000</f>
        <v>0.25274195</v>
      </c>
      <c r="C24" s="7" t="n">
        <f aca="false">AVERAGEIFS('Raw Data'!$E$2:$E$61,'Raw Data'!$A$2:$A$61,"CLH",'Raw Data'!$B$2:$B$61,$A24)/AVERAGEIFS('Raw Data'!$F$2:$F$61,'Raw Data'!$A$2:$A$61,"CLH",'Raw Data'!$B$2:$B$61,$A24)/1000</f>
        <v>1.336527825</v>
      </c>
      <c r="D24" s="7" t="n">
        <f aca="false">AVERAGEIFS('Raw Data'!$E$2:$E$61,'Raw Data'!$A$2:$A$61,"MCS",'Raw Data'!$B$2:$B$61,$A24)/AVERAGEIFS('Raw Data'!$F$2:$F$61,'Raw Data'!$A$2:$A$61,"MCS",'Raw Data'!$B$2:$B$61,$A24)/1000</f>
        <v>28.745339875</v>
      </c>
    </row>
    <row r="25" customFormat="false" ht="15" hidden="false" customHeight="false" outlineLevel="0" collapsed="false">
      <c r="A25" s="6" t="n">
        <v>16</v>
      </c>
      <c r="B25" s="7" t="n">
        <f aca="false">AVERAGEIFS('Raw Data'!$E$2:$E$61,'Raw Data'!$A$2:$A$61,"TTAS",'Raw Data'!$B$2:$B$61,$A25)/AVERAGEIFS('Raw Data'!$F$2:$F$61,'Raw Data'!$A$2:$A$61,"TTAS",'Raw Data'!$B$2:$B$61,$A25)/1000</f>
        <v>0.50618385</v>
      </c>
      <c r="C25" s="7" t="n">
        <f aca="false">AVERAGEIFS('Raw Data'!$E$2:$E$61,'Raw Data'!$A$2:$A$61,"CLH",'Raw Data'!$B$2:$B$61,$A25)/AVERAGEIFS('Raw Data'!$F$2:$F$61,'Raw Data'!$A$2:$A$61,"CLH",'Raw Data'!$B$2:$B$61,$A25)/1000</f>
        <v>654.6410816625</v>
      </c>
      <c r="D25" s="7" t="n">
        <f aca="false">AVERAGEIFS('Raw Data'!$E$2:$E$61,'Raw Data'!$A$2:$A$61,"MCS",'Raw Data'!$B$2:$B$61,$A25)/AVERAGEIFS('Raw Data'!$F$2:$F$61,'Raw Data'!$A$2:$A$61,"MCS",'Raw Data'!$B$2:$B$61,$A25)/1000</f>
        <v>10.9214965375</v>
      </c>
    </row>
    <row r="27" customFormat="false" ht="15" hidden="false" customHeight="false" outlineLevel="0" collapsed="false">
      <c r="A27" s="2" t="s">
        <v>35</v>
      </c>
    </row>
    <row r="28" customFormat="false" ht="15" hidden="false" customHeight="false" outlineLevel="0" collapsed="false">
      <c r="A28" s="5" t="s">
        <v>36</v>
      </c>
    </row>
    <row r="29" customFormat="false" ht="26.85" hidden="false" customHeight="false" outlineLevel="0" collapsed="false">
      <c r="A29" s="3" t="s">
        <v>14</v>
      </c>
      <c r="B29" s="3" t="s">
        <v>37</v>
      </c>
      <c r="C29" s="3" t="s">
        <v>38</v>
      </c>
      <c r="D29" s="3" t="s">
        <v>39</v>
      </c>
      <c r="E29" s="3" t="s">
        <v>40</v>
      </c>
      <c r="F29" s="3" t="s">
        <v>41</v>
      </c>
    </row>
    <row r="30" customFormat="false" ht="15" hidden="false" customHeight="false" outlineLevel="0" collapsed="false">
      <c r="A30" s="6" t="n">
        <v>2</v>
      </c>
      <c r="B30" s="6" t="s">
        <v>42</v>
      </c>
      <c r="C30" s="8" t="n">
        <f aca="false">A30*MAX('Raw Data'!$D$2:$D$61)</f>
        <v>2000</v>
      </c>
      <c r="D30" s="8" t="n">
        <f aca="false">AVERAGEIFS('Raw Data'!$F$2:$F$61,'Raw Data'!$A$2:$A$61,$B30,'Raw Data'!$B$2:$B$61,$A30)</f>
        <v>2000</v>
      </c>
      <c r="E30" s="8" t="n">
        <f aca="false">AVERAGEIFS('Raw Data'!$G$2:$G$61,'Raw Data'!$A$2:$A$61,$B30,'Raw Data'!$B$2:$B$61,$A30)</f>
        <v>2000</v>
      </c>
      <c r="F30" s="6" t="str">
        <f aca="false">SUMPRODUCT(('Raw Data'!$A$2:$A$61=B30)*('Raw Data'!$B$2:$B$61=A30)*('Raw Data'!$F$2:$F$61=A30*'Raw Data'!$D$2:$D$61)*('Raw Data'!$G$2:$G$61='Raw Data'!$F$2:$F$61))&amp;"/"&amp;COUNTIFS('Raw Data'!$A$2:$A$61,$B30,'Raw Data'!$B$2:$B$61,$A30)</f>
        <v>5/5</v>
      </c>
    </row>
    <row r="31" customFormat="false" ht="15" hidden="false" customHeight="false" outlineLevel="0" collapsed="false">
      <c r="A31" s="6" t="n">
        <v>2</v>
      </c>
      <c r="B31" s="6" t="s">
        <v>43</v>
      </c>
      <c r="C31" s="8" t="n">
        <f aca="false">A31*MAX('Raw Data'!$D$2:$D$61)</f>
        <v>2000</v>
      </c>
      <c r="D31" s="8" t="n">
        <f aca="false">AVERAGEIFS('Raw Data'!$F$2:$F$61,'Raw Data'!$A$2:$A$61,$B31,'Raw Data'!$B$2:$B$61,$A31)</f>
        <v>2000</v>
      </c>
      <c r="E31" s="8" t="n">
        <f aca="false">AVERAGEIFS('Raw Data'!$G$2:$G$61,'Raw Data'!$A$2:$A$61,$B31,'Raw Data'!$B$2:$B$61,$A31)</f>
        <v>2000</v>
      </c>
      <c r="F31" s="6" t="str">
        <f aca="false">SUMPRODUCT(('Raw Data'!$A$2:$A$61=B31)*('Raw Data'!$B$2:$B$61=A31)*('Raw Data'!$F$2:$F$61=A31*'Raw Data'!$D$2:$D$61)*('Raw Data'!$G$2:$G$61='Raw Data'!$F$2:$F$61))&amp;"/"&amp;COUNTIFS('Raw Data'!$A$2:$A$61,$B31,'Raw Data'!$B$2:$B$61,$A31)</f>
        <v>5/5</v>
      </c>
    </row>
    <row r="32" customFormat="false" ht="15" hidden="false" customHeight="false" outlineLevel="0" collapsed="false">
      <c r="A32" s="6" t="n">
        <v>2</v>
      </c>
      <c r="B32" s="6" t="s">
        <v>44</v>
      </c>
      <c r="C32" s="8" t="n">
        <f aca="false">A32*MAX('Raw Data'!$D$2:$D$61)</f>
        <v>2000</v>
      </c>
      <c r="D32" s="8" t="n">
        <f aca="false">AVERAGEIFS('Raw Data'!$F$2:$F$61,'Raw Data'!$A$2:$A$61,$B32,'Raw Data'!$B$2:$B$61,$A32)</f>
        <v>2000</v>
      </c>
      <c r="E32" s="8" t="n">
        <f aca="false">AVERAGEIFS('Raw Data'!$G$2:$G$61,'Raw Data'!$A$2:$A$61,$B32,'Raw Data'!$B$2:$B$61,$A32)</f>
        <v>2000</v>
      </c>
      <c r="F32" s="6" t="str">
        <f aca="false">SUMPRODUCT(('Raw Data'!$A$2:$A$61=B32)*('Raw Data'!$B$2:$B$61=A32)*('Raw Data'!$F$2:$F$61=A32*'Raw Data'!$D$2:$D$61)*('Raw Data'!$G$2:$G$61='Raw Data'!$F$2:$F$61))&amp;"/"&amp;COUNTIFS('Raw Data'!$A$2:$A$61,$B32,'Raw Data'!$B$2:$B$61,$A32)</f>
        <v>5/5</v>
      </c>
    </row>
    <row r="33" customFormat="false" ht="15" hidden="false" customHeight="false" outlineLevel="0" collapsed="false">
      <c r="A33" s="6" t="n">
        <v>4</v>
      </c>
      <c r="B33" s="6" t="s">
        <v>42</v>
      </c>
      <c r="C33" s="8" t="n">
        <f aca="false">A33*MAX('Raw Data'!$D$2:$D$61)</f>
        <v>4000</v>
      </c>
      <c r="D33" s="8" t="n">
        <f aca="false">AVERAGEIFS('Raw Data'!$F$2:$F$61,'Raw Data'!$A$2:$A$61,$B33,'Raw Data'!$B$2:$B$61,$A33)</f>
        <v>4000</v>
      </c>
      <c r="E33" s="8" t="n">
        <f aca="false">AVERAGEIFS('Raw Data'!$G$2:$G$61,'Raw Data'!$A$2:$A$61,$B33,'Raw Data'!$B$2:$B$61,$A33)</f>
        <v>4000</v>
      </c>
      <c r="F33" s="6" t="str">
        <f aca="false">SUMPRODUCT(('Raw Data'!$A$2:$A$61=B33)*('Raw Data'!$B$2:$B$61=A33)*('Raw Data'!$F$2:$F$61=A33*'Raw Data'!$D$2:$D$61)*('Raw Data'!$G$2:$G$61='Raw Data'!$F$2:$F$61))&amp;"/"&amp;COUNTIFS('Raw Data'!$A$2:$A$61,$B33,'Raw Data'!$B$2:$B$61,$A33)</f>
        <v>5/5</v>
      </c>
    </row>
    <row r="34" customFormat="false" ht="15" hidden="false" customHeight="false" outlineLevel="0" collapsed="false">
      <c r="A34" s="6" t="n">
        <v>4</v>
      </c>
      <c r="B34" s="6" t="s">
        <v>43</v>
      </c>
      <c r="C34" s="8" t="n">
        <f aca="false">A34*MAX('Raw Data'!$D$2:$D$61)</f>
        <v>4000</v>
      </c>
      <c r="D34" s="8" t="n">
        <f aca="false">AVERAGEIFS('Raw Data'!$F$2:$F$61,'Raw Data'!$A$2:$A$61,$B34,'Raw Data'!$B$2:$B$61,$A34)</f>
        <v>4000</v>
      </c>
      <c r="E34" s="8" t="n">
        <f aca="false">AVERAGEIFS('Raw Data'!$G$2:$G$61,'Raw Data'!$A$2:$A$61,$B34,'Raw Data'!$B$2:$B$61,$A34)</f>
        <v>4000</v>
      </c>
      <c r="F34" s="6" t="str">
        <f aca="false">SUMPRODUCT(('Raw Data'!$A$2:$A$61=B34)*('Raw Data'!$B$2:$B$61=A34)*('Raw Data'!$F$2:$F$61=A34*'Raw Data'!$D$2:$D$61)*('Raw Data'!$G$2:$G$61='Raw Data'!$F$2:$F$61))&amp;"/"&amp;COUNTIFS('Raw Data'!$A$2:$A$61,$B34,'Raw Data'!$B$2:$B$61,$A34)</f>
        <v>5/5</v>
      </c>
    </row>
    <row r="35" customFormat="false" ht="15" hidden="false" customHeight="false" outlineLevel="0" collapsed="false">
      <c r="A35" s="6" t="n">
        <v>4</v>
      </c>
      <c r="B35" s="6" t="s">
        <v>44</v>
      </c>
      <c r="C35" s="8" t="n">
        <f aca="false">A35*MAX('Raw Data'!$D$2:$D$61)</f>
        <v>4000</v>
      </c>
      <c r="D35" s="8" t="n">
        <f aca="false">AVERAGEIFS('Raw Data'!$F$2:$F$61,'Raw Data'!$A$2:$A$61,$B35,'Raw Data'!$B$2:$B$61,$A35)</f>
        <v>4000</v>
      </c>
      <c r="E35" s="8" t="n">
        <f aca="false">AVERAGEIFS('Raw Data'!$G$2:$G$61,'Raw Data'!$A$2:$A$61,$B35,'Raw Data'!$B$2:$B$61,$A35)</f>
        <v>4000</v>
      </c>
      <c r="F35" s="6" t="str">
        <f aca="false">SUMPRODUCT(('Raw Data'!$A$2:$A$61=B35)*('Raw Data'!$B$2:$B$61=A35)*('Raw Data'!$F$2:$F$61=A35*'Raw Data'!$D$2:$D$61)*('Raw Data'!$G$2:$G$61='Raw Data'!$F$2:$F$61))&amp;"/"&amp;COUNTIFS('Raw Data'!$A$2:$A$61,$B35,'Raw Data'!$B$2:$B$61,$A35)</f>
        <v>5/5</v>
      </c>
    </row>
    <row r="36" customFormat="false" ht="15" hidden="false" customHeight="false" outlineLevel="0" collapsed="false">
      <c r="A36" s="6" t="n">
        <v>8</v>
      </c>
      <c r="B36" s="6" t="s">
        <v>42</v>
      </c>
      <c r="C36" s="8" t="n">
        <f aca="false">A36*MAX('Raw Data'!$D$2:$D$61)</f>
        <v>8000</v>
      </c>
      <c r="D36" s="8" t="n">
        <f aca="false">AVERAGEIFS('Raw Data'!$F$2:$F$61,'Raw Data'!$A$2:$A$61,$B36,'Raw Data'!$B$2:$B$61,$A36)</f>
        <v>8000</v>
      </c>
      <c r="E36" s="8" t="n">
        <f aca="false">AVERAGEIFS('Raw Data'!$G$2:$G$61,'Raw Data'!$A$2:$A$61,$B36,'Raw Data'!$B$2:$B$61,$A36)</f>
        <v>8000</v>
      </c>
      <c r="F36" s="6" t="str">
        <f aca="false">SUMPRODUCT(('Raw Data'!$A$2:$A$61=B36)*('Raw Data'!$B$2:$B$61=A36)*('Raw Data'!$F$2:$F$61=A36*'Raw Data'!$D$2:$D$61)*('Raw Data'!$G$2:$G$61='Raw Data'!$F$2:$F$61))&amp;"/"&amp;COUNTIFS('Raw Data'!$A$2:$A$61,$B36,'Raw Data'!$B$2:$B$61,$A36)</f>
        <v>5/5</v>
      </c>
    </row>
    <row r="37" customFormat="false" ht="15" hidden="false" customHeight="false" outlineLevel="0" collapsed="false">
      <c r="A37" s="6" t="n">
        <v>8</v>
      </c>
      <c r="B37" s="6" t="s">
        <v>43</v>
      </c>
      <c r="C37" s="8" t="n">
        <f aca="false">A37*MAX('Raw Data'!$D$2:$D$61)</f>
        <v>8000</v>
      </c>
      <c r="D37" s="8" t="n">
        <f aca="false">AVERAGEIFS('Raw Data'!$F$2:$F$61,'Raw Data'!$A$2:$A$61,$B37,'Raw Data'!$B$2:$B$61,$A37)</f>
        <v>8000</v>
      </c>
      <c r="E37" s="8" t="n">
        <f aca="false">AVERAGEIFS('Raw Data'!$G$2:$G$61,'Raw Data'!$A$2:$A$61,$B37,'Raw Data'!$B$2:$B$61,$A37)</f>
        <v>8000</v>
      </c>
      <c r="F37" s="6" t="str">
        <f aca="false">SUMPRODUCT(('Raw Data'!$A$2:$A$61=B37)*('Raw Data'!$B$2:$B$61=A37)*('Raw Data'!$F$2:$F$61=A37*'Raw Data'!$D$2:$D$61)*('Raw Data'!$G$2:$G$61='Raw Data'!$F$2:$F$61))&amp;"/"&amp;COUNTIFS('Raw Data'!$A$2:$A$61,$B37,'Raw Data'!$B$2:$B$61,$A37)</f>
        <v>5/5</v>
      </c>
    </row>
    <row r="38" customFormat="false" ht="15" hidden="false" customHeight="false" outlineLevel="0" collapsed="false">
      <c r="A38" s="6" t="n">
        <v>8</v>
      </c>
      <c r="B38" s="6" t="s">
        <v>44</v>
      </c>
      <c r="C38" s="8" t="n">
        <f aca="false">A38*MAX('Raw Data'!$D$2:$D$61)</f>
        <v>8000</v>
      </c>
      <c r="D38" s="8" t="n">
        <f aca="false">AVERAGEIFS('Raw Data'!$F$2:$F$61,'Raw Data'!$A$2:$A$61,$B38,'Raw Data'!$B$2:$B$61,$A38)</f>
        <v>8000</v>
      </c>
      <c r="E38" s="8" t="n">
        <f aca="false">AVERAGEIFS('Raw Data'!$G$2:$G$61,'Raw Data'!$A$2:$A$61,$B38,'Raw Data'!$B$2:$B$61,$A38)</f>
        <v>8000</v>
      </c>
      <c r="F38" s="6" t="str">
        <f aca="false">SUMPRODUCT(('Raw Data'!$A$2:$A$61=B38)*('Raw Data'!$B$2:$B$61=A38)*('Raw Data'!$F$2:$F$61=A38*'Raw Data'!$D$2:$D$61)*('Raw Data'!$G$2:$G$61='Raw Data'!$F$2:$F$61))&amp;"/"&amp;COUNTIFS('Raw Data'!$A$2:$A$61,$B38,'Raw Data'!$B$2:$B$61,$A38)</f>
        <v>5/5</v>
      </c>
    </row>
    <row r="39" customFormat="false" ht="15" hidden="false" customHeight="false" outlineLevel="0" collapsed="false">
      <c r="A39" s="6" t="n">
        <v>16</v>
      </c>
      <c r="B39" s="6" t="s">
        <v>42</v>
      </c>
      <c r="C39" s="8" t="n">
        <f aca="false">A39*MAX('Raw Data'!$D$2:$D$61)</f>
        <v>16000</v>
      </c>
      <c r="D39" s="8" t="n">
        <f aca="false">AVERAGEIFS('Raw Data'!$F$2:$F$61,'Raw Data'!$A$2:$A$61,$B39,'Raw Data'!$B$2:$B$61,$A39)</f>
        <v>16000</v>
      </c>
      <c r="E39" s="8" t="n">
        <f aca="false">AVERAGEIFS('Raw Data'!$G$2:$G$61,'Raw Data'!$A$2:$A$61,$B39,'Raw Data'!$B$2:$B$61,$A39)</f>
        <v>16000</v>
      </c>
      <c r="F39" s="6" t="str">
        <f aca="false">SUMPRODUCT(('Raw Data'!$A$2:$A$61=B39)*('Raw Data'!$B$2:$B$61=A39)*('Raw Data'!$F$2:$F$61=A39*'Raw Data'!$D$2:$D$61)*('Raw Data'!$G$2:$G$61='Raw Data'!$F$2:$F$61))&amp;"/"&amp;COUNTIFS('Raw Data'!$A$2:$A$61,$B39,'Raw Data'!$B$2:$B$61,$A39)</f>
        <v>5/5</v>
      </c>
    </row>
    <row r="40" customFormat="false" ht="15" hidden="false" customHeight="false" outlineLevel="0" collapsed="false">
      <c r="A40" s="6" t="n">
        <v>16</v>
      </c>
      <c r="B40" s="6" t="s">
        <v>43</v>
      </c>
      <c r="C40" s="8" t="n">
        <f aca="false">A40*MAX('Raw Data'!$D$2:$D$61)</f>
        <v>16000</v>
      </c>
      <c r="D40" s="8" t="n">
        <f aca="false">AVERAGEIFS('Raw Data'!$F$2:$F$61,'Raw Data'!$A$2:$A$61,$B40,'Raw Data'!$B$2:$B$61,$A40)</f>
        <v>16000</v>
      </c>
      <c r="E40" s="8" t="n">
        <f aca="false">AVERAGEIFS('Raw Data'!$G$2:$G$61,'Raw Data'!$A$2:$A$61,$B40,'Raw Data'!$B$2:$B$61,$A40)</f>
        <v>16000</v>
      </c>
      <c r="F40" s="6" t="str">
        <f aca="false">SUMPRODUCT(('Raw Data'!$A$2:$A$61=B40)*('Raw Data'!$B$2:$B$61=A40)*('Raw Data'!$F$2:$F$61=A40*'Raw Data'!$D$2:$D$61)*('Raw Data'!$G$2:$G$61='Raw Data'!$F$2:$F$61))&amp;"/"&amp;COUNTIFS('Raw Data'!$A$2:$A$61,$B40,'Raw Data'!$B$2:$B$61,$A40)</f>
        <v>5/5</v>
      </c>
    </row>
    <row r="41" customFormat="false" ht="15" hidden="false" customHeight="false" outlineLevel="0" collapsed="false">
      <c r="A41" s="6" t="n">
        <v>16</v>
      </c>
      <c r="B41" s="6" t="s">
        <v>44</v>
      </c>
      <c r="C41" s="8" t="n">
        <f aca="false">A41*MAX('Raw Data'!$D$2:$D$61)</f>
        <v>16000</v>
      </c>
      <c r="D41" s="8" t="n">
        <f aca="false">AVERAGEIFS('Raw Data'!$F$2:$F$61,'Raw Data'!$A$2:$A$61,$B41,'Raw Data'!$B$2:$B$61,$A41)</f>
        <v>16000</v>
      </c>
      <c r="E41" s="8" t="n">
        <f aca="false">AVERAGEIFS('Raw Data'!$G$2:$G$61,'Raw Data'!$A$2:$A$61,$B41,'Raw Data'!$B$2:$B$61,$A41)</f>
        <v>16000</v>
      </c>
      <c r="F41" s="6" t="str">
        <f aca="false">SUMPRODUCT(('Raw Data'!$A$2:$A$61=B41)*('Raw Data'!$B$2:$B$61=A41)*('Raw Data'!$F$2:$F$61=A41*'Raw Data'!$D$2:$D$61)*('Raw Data'!$G$2:$G$61='Raw Data'!$F$2:$F$61))&amp;"/"&amp;COUNTIFS('Raw Data'!$A$2:$A$61,$B41,'Raw Data'!$B$2:$B$61,$A41)</f>
        <v>5/5</v>
      </c>
    </row>
    <row r="43" customFormat="false" ht="15" hidden="false" customHeight="false" outlineLevel="0" collapsed="false">
      <c r="A43" s="2" t="s">
        <v>45</v>
      </c>
    </row>
    <row r="44" customFormat="false" ht="15" hidden="false" customHeight="false" outlineLevel="0" collapsed="false">
      <c r="A44" s="5" t="s">
        <v>46</v>
      </c>
    </row>
    <row r="45" customFormat="false" ht="15" hidden="false" customHeight="false" outlineLevel="0" collapsed="false">
      <c r="A45" s="3" t="s">
        <v>14</v>
      </c>
      <c r="B45" s="3" t="s">
        <v>37</v>
      </c>
      <c r="C45" s="3" t="s">
        <v>47</v>
      </c>
      <c r="D45" s="3" t="s">
        <v>48</v>
      </c>
      <c r="E45" s="3" t="s">
        <v>49</v>
      </c>
      <c r="F45" s="3" t="s">
        <v>50</v>
      </c>
      <c r="G45" s="3" t="s">
        <v>51</v>
      </c>
      <c r="H45" s="3" t="s">
        <v>52</v>
      </c>
      <c r="I45" s="3" t="s">
        <v>53</v>
      </c>
      <c r="J45" s="3" t="s">
        <v>54</v>
      </c>
      <c r="K45" s="3" t="s">
        <v>55</v>
      </c>
      <c r="L45" s="3" t="s">
        <v>56</v>
      </c>
      <c r="M45" s="3" t="s">
        <v>57</v>
      </c>
      <c r="N45" s="3" t="s">
        <v>58</v>
      </c>
      <c r="O45" s="3" t="s">
        <v>59</v>
      </c>
      <c r="P45" s="3" t="s">
        <v>60</v>
      </c>
      <c r="Q45" s="3" t="s">
        <v>61</v>
      </c>
      <c r="R45" s="3" t="s">
        <v>62</v>
      </c>
    </row>
    <row r="46" customFormat="false" ht="15" hidden="false" customHeight="false" outlineLevel="0" collapsed="false">
      <c r="A46" s="6" t="n">
        <v>2</v>
      </c>
      <c r="B46" s="6" t="s">
        <v>42</v>
      </c>
      <c r="C46" s="9" t="n">
        <v>1000</v>
      </c>
      <c r="D46" s="9" t="n">
        <v>1000</v>
      </c>
    </row>
    <row r="47" customFormat="false" ht="15" hidden="false" customHeight="false" outlineLevel="0" collapsed="false">
      <c r="A47" s="6" t="n">
        <v>2</v>
      </c>
      <c r="B47" s="6" t="s">
        <v>43</v>
      </c>
      <c r="C47" s="9" t="n">
        <v>1000</v>
      </c>
      <c r="D47" s="9" t="n">
        <v>1000</v>
      </c>
    </row>
    <row r="48" customFormat="false" ht="15" hidden="false" customHeight="false" outlineLevel="0" collapsed="false">
      <c r="A48" s="6" t="n">
        <v>2</v>
      </c>
      <c r="B48" s="6" t="s">
        <v>44</v>
      </c>
      <c r="C48" s="9" t="n">
        <v>1000</v>
      </c>
      <c r="D48" s="9" t="n">
        <v>1000</v>
      </c>
    </row>
    <row r="49" customFormat="false" ht="15" hidden="false" customHeight="false" outlineLevel="0" collapsed="false">
      <c r="A49" s="6" t="n">
        <v>4</v>
      </c>
      <c r="B49" s="6" t="s">
        <v>42</v>
      </c>
      <c r="C49" s="9" t="n">
        <v>1000</v>
      </c>
      <c r="D49" s="9" t="n">
        <v>1000</v>
      </c>
      <c r="E49" s="9" t="n">
        <v>1000</v>
      </c>
      <c r="F49" s="9" t="n">
        <v>1000</v>
      </c>
    </row>
    <row r="50" customFormat="false" ht="15" hidden="false" customHeight="false" outlineLevel="0" collapsed="false">
      <c r="A50" s="6" t="n">
        <v>4</v>
      </c>
      <c r="B50" s="6" t="s">
        <v>43</v>
      </c>
      <c r="C50" s="9" t="n">
        <v>1000</v>
      </c>
      <c r="D50" s="9" t="n">
        <v>1000</v>
      </c>
      <c r="E50" s="9" t="n">
        <v>1000</v>
      </c>
      <c r="F50" s="9" t="n">
        <v>1000</v>
      </c>
    </row>
    <row r="51" customFormat="false" ht="15" hidden="false" customHeight="false" outlineLevel="0" collapsed="false">
      <c r="A51" s="6" t="n">
        <v>4</v>
      </c>
      <c r="B51" s="6" t="s">
        <v>44</v>
      </c>
      <c r="C51" s="9" t="n">
        <v>1000</v>
      </c>
      <c r="D51" s="9" t="n">
        <v>1000</v>
      </c>
      <c r="E51" s="9" t="n">
        <v>1000</v>
      </c>
      <c r="F51" s="9" t="n">
        <v>1000</v>
      </c>
    </row>
    <row r="52" customFormat="false" ht="15" hidden="false" customHeight="false" outlineLevel="0" collapsed="false">
      <c r="A52" s="6" t="n">
        <v>8</v>
      </c>
      <c r="B52" s="6" t="s">
        <v>42</v>
      </c>
      <c r="C52" s="9" t="n">
        <v>1000</v>
      </c>
      <c r="D52" s="9" t="n">
        <v>1000</v>
      </c>
      <c r="E52" s="9" t="n">
        <v>1000</v>
      </c>
      <c r="F52" s="9" t="n">
        <v>1000</v>
      </c>
      <c r="G52" s="9" t="n">
        <v>1000</v>
      </c>
      <c r="H52" s="9" t="n">
        <v>1000</v>
      </c>
      <c r="I52" s="9" t="n">
        <v>1000</v>
      </c>
      <c r="J52" s="9" t="n">
        <v>1000</v>
      </c>
    </row>
    <row r="53" customFormat="false" ht="15" hidden="false" customHeight="false" outlineLevel="0" collapsed="false">
      <c r="A53" s="6" t="n">
        <v>8</v>
      </c>
      <c r="B53" s="6" t="s">
        <v>43</v>
      </c>
      <c r="C53" s="9" t="n">
        <v>1000</v>
      </c>
      <c r="D53" s="9" t="n">
        <v>1000</v>
      </c>
      <c r="E53" s="9" t="n">
        <v>1000</v>
      </c>
      <c r="F53" s="9" t="n">
        <v>1000</v>
      </c>
      <c r="G53" s="9" t="n">
        <v>1000</v>
      </c>
      <c r="H53" s="9" t="n">
        <v>1000</v>
      </c>
      <c r="I53" s="9" t="n">
        <v>1000</v>
      </c>
      <c r="J53" s="9" t="n">
        <v>1000</v>
      </c>
    </row>
    <row r="54" customFormat="false" ht="15" hidden="false" customHeight="false" outlineLevel="0" collapsed="false">
      <c r="A54" s="6" t="n">
        <v>8</v>
      </c>
      <c r="B54" s="6" t="s">
        <v>44</v>
      </c>
      <c r="C54" s="9" t="n">
        <v>1000</v>
      </c>
      <c r="D54" s="9" t="n">
        <v>1000</v>
      </c>
      <c r="E54" s="9" t="n">
        <v>1000</v>
      </c>
      <c r="F54" s="9" t="n">
        <v>1000</v>
      </c>
      <c r="G54" s="9" t="n">
        <v>1000</v>
      </c>
      <c r="H54" s="9" t="n">
        <v>1000</v>
      </c>
      <c r="I54" s="9" t="n">
        <v>1000</v>
      </c>
      <c r="J54" s="9" t="n">
        <v>1000</v>
      </c>
    </row>
    <row r="55" customFormat="false" ht="15" hidden="false" customHeight="false" outlineLevel="0" collapsed="false">
      <c r="A55" s="6" t="n">
        <v>16</v>
      </c>
      <c r="B55" s="6" t="s">
        <v>42</v>
      </c>
      <c r="C55" s="9" t="n">
        <v>1000</v>
      </c>
      <c r="D55" s="9" t="n">
        <v>1000</v>
      </c>
      <c r="E55" s="9" t="n">
        <v>1000</v>
      </c>
      <c r="F55" s="9" t="n">
        <v>1000</v>
      </c>
      <c r="G55" s="9" t="n">
        <v>1000</v>
      </c>
      <c r="H55" s="9" t="n">
        <v>1000</v>
      </c>
      <c r="I55" s="9" t="n">
        <v>1000</v>
      </c>
      <c r="J55" s="9" t="n">
        <v>1000</v>
      </c>
      <c r="K55" s="9" t="n">
        <v>1000</v>
      </c>
      <c r="L55" s="9" t="n">
        <v>1000</v>
      </c>
      <c r="M55" s="9" t="n">
        <v>1000</v>
      </c>
      <c r="N55" s="9" t="n">
        <v>1000</v>
      </c>
      <c r="O55" s="9" t="n">
        <v>1000</v>
      </c>
      <c r="P55" s="9" t="n">
        <v>1000</v>
      </c>
      <c r="Q55" s="9" t="n">
        <v>1000</v>
      </c>
      <c r="R55" s="9" t="n">
        <v>1000</v>
      </c>
    </row>
    <row r="56" customFormat="false" ht="15" hidden="false" customHeight="false" outlineLevel="0" collapsed="false">
      <c r="A56" s="6" t="n">
        <v>16</v>
      </c>
      <c r="B56" s="6" t="s">
        <v>43</v>
      </c>
      <c r="C56" s="9" t="n">
        <v>1000</v>
      </c>
      <c r="D56" s="9" t="n">
        <v>1000</v>
      </c>
      <c r="E56" s="9" t="n">
        <v>1000</v>
      </c>
      <c r="F56" s="9" t="n">
        <v>1000</v>
      </c>
      <c r="G56" s="9" t="n">
        <v>1000</v>
      </c>
      <c r="H56" s="9" t="n">
        <v>1000</v>
      </c>
      <c r="I56" s="9" t="n">
        <v>1000</v>
      </c>
      <c r="J56" s="9" t="n">
        <v>1000</v>
      </c>
      <c r="K56" s="9" t="n">
        <v>1000</v>
      </c>
      <c r="L56" s="9" t="n">
        <v>1000</v>
      </c>
      <c r="M56" s="9" t="n">
        <v>1000</v>
      </c>
      <c r="N56" s="9" t="n">
        <v>1000</v>
      </c>
      <c r="O56" s="9" t="n">
        <v>1000</v>
      </c>
      <c r="P56" s="9" t="n">
        <v>1000</v>
      </c>
      <c r="Q56" s="9" t="n">
        <v>1000</v>
      </c>
      <c r="R56" s="9" t="n">
        <v>1000</v>
      </c>
    </row>
    <row r="57" customFormat="false" ht="15" hidden="false" customHeight="false" outlineLevel="0" collapsed="false">
      <c r="A57" s="6" t="n">
        <v>16</v>
      </c>
      <c r="B57" s="6" t="s">
        <v>44</v>
      </c>
      <c r="C57" s="9" t="n">
        <v>1000</v>
      </c>
      <c r="D57" s="9" t="n">
        <v>1000</v>
      </c>
      <c r="E57" s="9" t="n">
        <v>1000</v>
      </c>
      <c r="F57" s="9" t="n">
        <v>1000</v>
      </c>
      <c r="G57" s="9" t="n">
        <v>1000</v>
      </c>
      <c r="H57" s="9" t="n">
        <v>1000</v>
      </c>
      <c r="I57" s="9" t="n">
        <v>1000</v>
      </c>
      <c r="J57" s="9" t="n">
        <v>1000</v>
      </c>
      <c r="K57" s="9" t="n">
        <v>1000</v>
      </c>
      <c r="L57" s="9" t="n">
        <v>1000</v>
      </c>
      <c r="M57" s="9" t="n">
        <v>1000</v>
      </c>
      <c r="N57" s="9" t="n">
        <v>1000</v>
      </c>
      <c r="O57" s="9" t="n">
        <v>1000</v>
      </c>
      <c r="P57" s="9" t="n">
        <v>1000</v>
      </c>
      <c r="Q57" s="9" t="n">
        <v>1000</v>
      </c>
      <c r="R57" s="9" t="n">
        <v>1000</v>
      </c>
    </row>
    <row r="59" customFormat="false" ht="15" hidden="false" customHeight="false" outlineLevel="0" collapsed="false">
      <c r="A59" s="2" t="s">
        <v>63</v>
      </c>
    </row>
    <row r="60" customFormat="false" ht="15" hidden="false" customHeight="false" outlineLevel="0" collapsed="false">
      <c r="A60" s="5" t="s">
        <v>64</v>
      </c>
    </row>
    <row r="61" customFormat="false" ht="26.85" hidden="false" customHeight="false" outlineLevel="0" collapsed="false">
      <c r="A61" s="3" t="s">
        <v>14</v>
      </c>
      <c r="B61" s="3" t="s">
        <v>37</v>
      </c>
      <c r="C61" s="3" t="s">
        <v>65</v>
      </c>
      <c r="D61" s="3" t="s">
        <v>66</v>
      </c>
      <c r="E61" s="3" t="s">
        <v>67</v>
      </c>
      <c r="F61" s="3" t="s">
        <v>68</v>
      </c>
    </row>
    <row r="62" customFormat="false" ht="15" hidden="false" customHeight="false" outlineLevel="0" collapsed="false">
      <c r="A62" s="6" t="n">
        <v>2</v>
      </c>
      <c r="B62" s="6" t="s">
        <v>42</v>
      </c>
      <c r="C62" s="7" t="n">
        <f aca="false">AVERAGEIFS('Raw Data'!$I$2:$I$61,'Raw Data'!$A$2:$A$61,$B62,'Raw Data'!$B$2:$B$61,$A62)/1000</f>
        <v>0.50202</v>
      </c>
      <c r="D62" s="7" t="n">
        <f aca="false">AVERAGEIFS('Raw Data'!$J$2:$J$61,'Raw Data'!$A$2:$A$61,$B62,'Raw Data'!$B$2:$B$61,$A62)/1000</f>
        <v>0.9758</v>
      </c>
      <c r="E62" s="10" t="n">
        <f aca="false">AVERAGEIFS('Raw Data'!$K$2:$K$61,'Raw Data'!$A$2:$A$61,$B62,'Raw Data'!$B$2:$B$61,$A62)/1000</f>
        <v>77.5342</v>
      </c>
      <c r="F62" s="10" t="n">
        <f aca="false">_xlfn.MAXIFS('Raw Data'!$K$2:$K$61,'Raw Data'!$A$2:$A$61,$B62,'Raw Data'!$B$2:$B$61,$A62)/1000</f>
        <v>144.171</v>
      </c>
    </row>
    <row r="63" customFormat="false" ht="15" hidden="false" customHeight="false" outlineLevel="0" collapsed="false">
      <c r="A63" s="6" t="n">
        <v>2</v>
      </c>
      <c r="B63" s="6" t="s">
        <v>43</v>
      </c>
      <c r="C63" s="7" t="n">
        <f aca="false">AVERAGEIFS('Raw Data'!$I$2:$I$61,'Raw Data'!$A$2:$A$61,$B63,'Raw Data'!$B$2:$B$61,$A63)/1000</f>
        <v>1.36724</v>
      </c>
      <c r="D63" s="7" t="n">
        <f aca="false">AVERAGEIFS('Raw Data'!$J$2:$J$61,'Raw Data'!$A$2:$A$61,$B63,'Raw Data'!$B$2:$B$61,$A63)/1000</f>
        <v>10.0584</v>
      </c>
      <c r="E63" s="10" t="n">
        <f aca="false">AVERAGEIFS('Raw Data'!$K$2:$K$61,'Raw Data'!$A$2:$A$61,$B63,'Raw Data'!$B$2:$B$61,$A63)/1000</f>
        <v>629.585</v>
      </c>
      <c r="F63" s="10" t="n">
        <f aca="false">_xlfn.MAXIFS('Raw Data'!$K$2:$K$61,'Raw Data'!$A$2:$A$61,$B63,'Raw Data'!$B$2:$B$61,$A63)/1000</f>
        <v>2245.27</v>
      </c>
    </row>
    <row r="64" customFormat="false" ht="15" hidden="false" customHeight="false" outlineLevel="0" collapsed="false">
      <c r="A64" s="6" t="n">
        <v>2</v>
      </c>
      <c r="B64" s="6" t="s">
        <v>44</v>
      </c>
      <c r="C64" s="7" t="n">
        <f aca="false">AVERAGEIFS('Raw Data'!$I$2:$I$61,'Raw Data'!$A$2:$A$61,$B64,'Raw Data'!$B$2:$B$61,$A64)/1000</f>
        <v>1.0304</v>
      </c>
      <c r="D64" s="7" t="n">
        <f aca="false">AVERAGEIFS('Raw Data'!$J$2:$J$61,'Raw Data'!$A$2:$A$61,$B64,'Raw Data'!$B$2:$B$61,$A64)/1000</f>
        <v>9.9836</v>
      </c>
      <c r="E64" s="10" t="n">
        <f aca="false">AVERAGEIFS('Raw Data'!$K$2:$K$61,'Raw Data'!$A$2:$A$61,$B64,'Raw Data'!$B$2:$B$61,$A64)/1000</f>
        <v>338.0508</v>
      </c>
      <c r="F64" s="10" t="n">
        <f aca="false">_xlfn.MAXIFS('Raw Data'!$K$2:$K$61,'Raw Data'!$A$2:$A$61,$B64,'Raw Data'!$B$2:$B$61,$A64)/1000</f>
        <v>1312.28</v>
      </c>
    </row>
    <row r="65" customFormat="false" ht="15" hidden="false" customHeight="false" outlineLevel="0" collapsed="false">
      <c r="A65" s="6" t="n">
        <v>4</v>
      </c>
      <c r="B65" s="6" t="s">
        <v>42</v>
      </c>
      <c r="C65" s="7" t="n">
        <f aca="false">AVERAGEIFS('Raw Data'!$I$2:$I$61,'Raw Data'!$A$2:$A$61,$B65,'Raw Data'!$B$2:$B$61,$A65)/1000</f>
        <v>0.45096</v>
      </c>
      <c r="D65" s="7" t="n">
        <f aca="false">AVERAGEIFS('Raw Data'!$J$2:$J$61,'Raw Data'!$A$2:$A$61,$B65,'Raw Data'!$B$2:$B$61,$A65)/1000</f>
        <v>3.426</v>
      </c>
      <c r="E65" s="10" t="n">
        <f aca="false">AVERAGEIFS('Raw Data'!$K$2:$K$61,'Raw Data'!$A$2:$A$61,$B65,'Raw Data'!$B$2:$B$61,$A65)/1000</f>
        <v>216.6908</v>
      </c>
      <c r="F65" s="10" t="n">
        <f aca="false">_xlfn.MAXIFS('Raw Data'!$K$2:$K$61,'Raw Data'!$A$2:$A$61,$B65,'Raw Data'!$B$2:$B$61,$A65)/1000</f>
        <v>806.922</v>
      </c>
    </row>
    <row r="66" customFormat="false" ht="15" hidden="false" customHeight="false" outlineLevel="0" collapsed="false">
      <c r="A66" s="6" t="n">
        <v>4</v>
      </c>
      <c r="B66" s="6" t="s">
        <v>43</v>
      </c>
      <c r="C66" s="7" t="n">
        <f aca="false">AVERAGEIFS('Raw Data'!$I$2:$I$61,'Raw Data'!$A$2:$A$61,$B66,'Raw Data'!$B$2:$B$61,$A66)/1000</f>
        <v>1.17912</v>
      </c>
      <c r="D66" s="7" t="n">
        <f aca="false">AVERAGEIFS('Raw Data'!$J$2:$J$61,'Raw Data'!$A$2:$A$61,$B66,'Raw Data'!$B$2:$B$61,$A66)/1000</f>
        <v>6.8938</v>
      </c>
      <c r="E66" s="10" t="n">
        <f aca="false">AVERAGEIFS('Raw Data'!$K$2:$K$61,'Raw Data'!$A$2:$A$61,$B66,'Raw Data'!$B$2:$B$61,$A66)/1000</f>
        <v>504.5834</v>
      </c>
      <c r="F66" s="10" t="n">
        <f aca="false">_xlfn.MAXIFS('Raw Data'!$K$2:$K$61,'Raw Data'!$A$2:$A$61,$B66,'Raw Data'!$B$2:$B$61,$A66)/1000</f>
        <v>915.583</v>
      </c>
    </row>
    <row r="67" customFormat="false" ht="15" hidden="false" customHeight="false" outlineLevel="0" collapsed="false">
      <c r="A67" s="6" t="n">
        <v>4</v>
      </c>
      <c r="B67" s="6" t="s">
        <v>44</v>
      </c>
      <c r="C67" s="7" t="n">
        <f aca="false">AVERAGEIFS('Raw Data'!$I$2:$I$61,'Raw Data'!$A$2:$A$61,$B67,'Raw Data'!$B$2:$B$61,$A67)/1000</f>
        <v>0.48358</v>
      </c>
      <c r="D67" s="7" t="n">
        <f aca="false">AVERAGEIFS('Raw Data'!$J$2:$J$61,'Raw Data'!$A$2:$A$61,$B67,'Raw Data'!$B$2:$B$61,$A67)/1000</f>
        <v>0.7972</v>
      </c>
      <c r="E67" s="10" t="n">
        <f aca="false">AVERAGEIFS('Raw Data'!$K$2:$K$61,'Raw Data'!$A$2:$A$61,$B67,'Raw Data'!$B$2:$B$61,$A67)/1000</f>
        <v>90.69</v>
      </c>
      <c r="F67" s="10" t="n">
        <f aca="false">_xlfn.MAXIFS('Raw Data'!$K$2:$K$61,'Raw Data'!$A$2:$A$61,$B67,'Raw Data'!$B$2:$B$61,$A67)/1000</f>
        <v>191.864</v>
      </c>
    </row>
    <row r="68" customFormat="false" ht="15" hidden="false" customHeight="false" outlineLevel="0" collapsed="false">
      <c r="A68" s="6" t="n">
        <v>8</v>
      </c>
      <c r="B68" s="6" t="s">
        <v>42</v>
      </c>
      <c r="C68" s="7" t="n">
        <f aca="false">AVERAGEIFS('Raw Data'!$I$2:$I$61,'Raw Data'!$A$2:$A$61,$B68,'Raw Data'!$B$2:$B$61,$A68)/1000</f>
        <v>0.5563</v>
      </c>
      <c r="D68" s="7" t="n">
        <f aca="false">AVERAGEIFS('Raw Data'!$J$2:$J$61,'Raw Data'!$A$2:$A$61,$B68,'Raw Data'!$B$2:$B$61,$A68)/1000</f>
        <v>4.8618</v>
      </c>
      <c r="E68" s="10" t="n">
        <f aca="false">AVERAGEIFS('Raw Data'!$K$2:$K$61,'Raw Data'!$A$2:$A$61,$B68,'Raw Data'!$B$2:$B$61,$A68)/1000</f>
        <v>211.7142</v>
      </c>
      <c r="F68" s="10" t="n">
        <f aca="false">_xlfn.MAXIFS('Raw Data'!$K$2:$K$61,'Raw Data'!$A$2:$A$61,$B68,'Raw Data'!$B$2:$B$61,$A68)/1000</f>
        <v>508.493</v>
      </c>
    </row>
    <row r="69" customFormat="false" ht="15" hidden="false" customHeight="false" outlineLevel="0" collapsed="false">
      <c r="A69" s="6" t="n">
        <v>8</v>
      </c>
      <c r="B69" s="6" t="s">
        <v>43</v>
      </c>
      <c r="C69" s="7" t="n">
        <f aca="false">AVERAGEIFS('Raw Data'!$I$2:$I$61,'Raw Data'!$A$2:$A$61,$B69,'Raw Data'!$B$2:$B$61,$A69)/1000</f>
        <v>8.3904</v>
      </c>
      <c r="D69" s="7" t="n">
        <f aca="false">AVERAGEIFS('Raw Data'!$J$2:$J$61,'Raw Data'!$A$2:$A$61,$B69,'Raw Data'!$B$2:$B$61,$A69)/1000</f>
        <v>39.7026</v>
      </c>
      <c r="E69" s="10" t="n">
        <f aca="false">AVERAGEIFS('Raw Data'!$K$2:$K$61,'Raw Data'!$A$2:$A$61,$B69,'Raw Data'!$B$2:$B$61,$A69)/1000</f>
        <v>2817.7084</v>
      </c>
      <c r="F69" s="10" t="n">
        <f aca="false">_xlfn.MAXIFS('Raw Data'!$K$2:$K$61,'Raw Data'!$A$2:$A$61,$B69,'Raw Data'!$B$2:$B$61,$A69)/1000</f>
        <v>7171.508</v>
      </c>
    </row>
    <row r="70" customFormat="false" ht="15" hidden="false" customHeight="false" outlineLevel="0" collapsed="false">
      <c r="A70" s="6" t="n">
        <v>8</v>
      </c>
      <c r="B70" s="6" t="s">
        <v>44</v>
      </c>
      <c r="C70" s="7" t="n">
        <f aca="false">AVERAGEIFS('Raw Data'!$I$2:$I$61,'Raw Data'!$A$2:$A$61,$B70,'Raw Data'!$B$2:$B$61,$A70)/1000</f>
        <v>228.56992</v>
      </c>
      <c r="D70" s="7" t="n">
        <f aca="false">AVERAGEIFS('Raw Data'!$J$2:$J$61,'Raw Data'!$A$2:$A$61,$B70,'Raw Data'!$B$2:$B$61,$A70)/1000</f>
        <v>3002.7248</v>
      </c>
      <c r="E70" s="10" t="n">
        <f aca="false">AVERAGEIFS('Raw Data'!$K$2:$K$61,'Raw Data'!$A$2:$A$61,$B70,'Raw Data'!$B$2:$B$61,$A70)/1000</f>
        <v>9138.0662</v>
      </c>
      <c r="F70" s="10" t="n">
        <f aca="false">_xlfn.MAXIFS('Raw Data'!$K$2:$K$61,'Raw Data'!$A$2:$A$61,$B70,'Raw Data'!$B$2:$B$61,$A70)/1000</f>
        <v>45040.571</v>
      </c>
    </row>
    <row r="71" customFormat="false" ht="15" hidden="false" customHeight="false" outlineLevel="0" collapsed="false">
      <c r="A71" s="6" t="n">
        <v>16</v>
      </c>
      <c r="B71" s="6" t="s">
        <v>42</v>
      </c>
      <c r="C71" s="7" t="n">
        <f aca="false">AVERAGEIFS('Raw Data'!$I$2:$I$61,'Raw Data'!$A$2:$A$61,$B71,'Raw Data'!$B$2:$B$61,$A71)/1000</f>
        <v>2.62374</v>
      </c>
      <c r="D71" s="7" t="n">
        <f aca="false">AVERAGEIFS('Raw Data'!$J$2:$J$61,'Raw Data'!$A$2:$A$61,$B71,'Raw Data'!$B$2:$B$61,$A71)/1000</f>
        <v>8.8392</v>
      </c>
      <c r="E71" s="10" t="n">
        <f aca="false">AVERAGEIFS('Raw Data'!$K$2:$K$61,'Raw Data'!$A$2:$A$61,$B71,'Raw Data'!$B$2:$B$61,$A71)/1000</f>
        <v>3976.7406</v>
      </c>
      <c r="F71" s="10" t="n">
        <f aca="false">_xlfn.MAXIFS('Raw Data'!$K$2:$K$61,'Raw Data'!$A$2:$A$61,$B71,'Raw Data'!$B$2:$B$61,$A71)/1000</f>
        <v>9081.451</v>
      </c>
    </row>
    <row r="72" customFormat="false" ht="15" hidden="false" customHeight="false" outlineLevel="0" collapsed="false">
      <c r="A72" s="6" t="n">
        <v>16</v>
      </c>
      <c r="B72" s="6" t="s">
        <v>43</v>
      </c>
      <c r="C72" s="7" t="n">
        <f aca="false">AVERAGEIFS('Raw Data'!$I$2:$I$61,'Raw Data'!$A$2:$A$61,$B72,'Raw Data'!$B$2:$B$61,$A72)/1000</f>
        <v>8056.03718</v>
      </c>
      <c r="D72" s="7" t="n">
        <f aca="false">AVERAGEIFS('Raw Data'!$J$2:$J$61,'Raw Data'!$A$2:$A$61,$B72,'Raw Data'!$B$2:$B$61,$A72)/1000</f>
        <v>38581.2426</v>
      </c>
      <c r="E72" s="10" t="n">
        <f aca="false">AVERAGEIFS('Raw Data'!$K$2:$K$61,'Raw Data'!$A$2:$A$61,$B72,'Raw Data'!$B$2:$B$61,$A72)/1000</f>
        <v>123955.0208</v>
      </c>
      <c r="F72" s="10" t="n">
        <f aca="false">_xlfn.MAXIFS('Raw Data'!$K$2:$K$61,'Raw Data'!$A$2:$A$61,$B72,'Raw Data'!$B$2:$B$61,$A72)/1000</f>
        <v>302784.084</v>
      </c>
    </row>
    <row r="73" customFormat="false" ht="15" hidden="false" customHeight="false" outlineLevel="0" collapsed="false">
      <c r="A73" s="6" t="n">
        <v>16</v>
      </c>
      <c r="B73" s="6" t="s">
        <v>44</v>
      </c>
      <c r="C73" s="7" t="n">
        <f aca="false">AVERAGEIFS('Raw Data'!$I$2:$I$61,'Raw Data'!$A$2:$A$61,$B73,'Raw Data'!$B$2:$B$61,$A73)/1000</f>
        <v>104.88312</v>
      </c>
      <c r="D73" s="7" t="n">
        <f aca="false">AVERAGEIFS('Raw Data'!$J$2:$J$61,'Raw Data'!$A$2:$A$61,$B73,'Raw Data'!$B$2:$B$61,$A73)/1000</f>
        <v>1655.6496</v>
      </c>
      <c r="E73" s="10" t="n">
        <f aca="false">AVERAGEIFS('Raw Data'!$K$2:$K$61,'Raw Data'!$A$2:$A$61,$B73,'Raw Data'!$B$2:$B$61,$A73)/1000</f>
        <v>7373.013</v>
      </c>
      <c r="F73" s="10" t="n">
        <f aca="false">_xlfn.MAXIFS('Raw Data'!$K$2:$K$61,'Raw Data'!$A$2:$A$61,$B73,'Raw Data'!$B$2:$B$61,$A73)/1000</f>
        <v>27268.558</v>
      </c>
    </row>
    <row r="75" customFormat="false" ht="15" hidden="false" customHeight="false" outlineLevel="0" collapsed="false">
      <c r="A75" s="2" t="s">
        <v>69</v>
      </c>
    </row>
    <row r="76" customFormat="false" ht="15" hidden="false" customHeight="false" outlineLevel="0" collapsed="false">
      <c r="A76" s="5" t="s">
        <v>70</v>
      </c>
    </row>
    <row r="77" customFormat="false" ht="26.85" hidden="false" customHeight="false" outlineLevel="0" collapsed="false">
      <c r="A77" s="3" t="s">
        <v>14</v>
      </c>
      <c r="B77" s="3" t="s">
        <v>37</v>
      </c>
      <c r="C77" s="3" t="s">
        <v>71</v>
      </c>
      <c r="D77" s="3" t="s">
        <v>72</v>
      </c>
      <c r="E77" s="3" t="s">
        <v>73</v>
      </c>
      <c r="F77" s="3" t="s">
        <v>74</v>
      </c>
      <c r="G77" s="3" t="s">
        <v>75</v>
      </c>
    </row>
    <row r="78" customFormat="false" ht="15" hidden="false" customHeight="false" outlineLevel="0" collapsed="false">
      <c r="A78" s="6" t="n">
        <v>2</v>
      </c>
      <c r="B78" s="6" t="s">
        <v>42</v>
      </c>
      <c r="C78" s="11" t="n">
        <f aca="false">MAX('Raw Data'!$D$2:$D$61)/2</f>
        <v>500</v>
      </c>
      <c r="D78" s="9" t="n">
        <v>374.8</v>
      </c>
      <c r="E78" s="9" t="n">
        <v>625.2</v>
      </c>
      <c r="F78" s="12" t="n">
        <f aca="false">AVERAGEIFS('Raw Data'!$M$2:$M$61,'Raw Data'!$A$2:$A$61,$B78,'Raw Data'!$B$2:$B$61,$A78)</f>
        <v>0.93568</v>
      </c>
      <c r="G78" s="13" t="n">
        <f aca="false">AVERAGEIFS('Raw Data'!$L$2:$L$61,'Raw Data'!$A$2:$A$61,$B78,'Raw Data'!$B$2:$B$61,$A78)/1000000</f>
        <v>0.2739498</v>
      </c>
    </row>
    <row r="79" customFormat="false" ht="15" hidden="false" customHeight="false" outlineLevel="0" collapsed="false">
      <c r="A79" s="6" t="n">
        <v>2</v>
      </c>
      <c r="B79" s="6" t="s">
        <v>43</v>
      </c>
      <c r="C79" s="11" t="n">
        <f aca="false">MAX('Raw Data'!$D$2:$D$61)/2</f>
        <v>500</v>
      </c>
      <c r="D79" s="9" t="n">
        <v>455.8</v>
      </c>
      <c r="E79" s="9" t="n">
        <v>544.2</v>
      </c>
      <c r="F79" s="12" t="n">
        <f aca="false">AVERAGEIFS('Raw Data'!$M$2:$M$61,'Raw Data'!$A$2:$A$61,$B79,'Raw Data'!$B$2:$B$61,$A79)</f>
        <v>0.98818</v>
      </c>
      <c r="G79" s="13" t="n">
        <f aca="false">AVERAGEIFS('Raw Data'!$L$2:$L$61,'Raw Data'!$A$2:$A$61,$B79,'Raw Data'!$B$2:$B$61,$A79)/1000000</f>
        <v>0.0842292</v>
      </c>
    </row>
    <row r="80" customFormat="false" ht="15" hidden="false" customHeight="false" outlineLevel="0" collapsed="false">
      <c r="A80" s="6" t="n">
        <v>2</v>
      </c>
      <c r="B80" s="6" t="s">
        <v>44</v>
      </c>
      <c r="C80" s="11" t="n">
        <f aca="false">MAX('Raw Data'!$D$2:$D$61)/2</f>
        <v>500</v>
      </c>
      <c r="D80" s="9" t="n">
        <v>446</v>
      </c>
      <c r="E80" s="9" t="n">
        <v>554</v>
      </c>
      <c r="F80" s="12" t="n">
        <f aca="false">AVERAGEIFS('Raw Data'!$M$2:$M$61,'Raw Data'!$A$2:$A$61,$B80,'Raw Data'!$B$2:$B$61,$A80)</f>
        <v>0.98068</v>
      </c>
      <c r="G80" s="13" t="n">
        <f aca="false">AVERAGEIFS('Raw Data'!$L$2:$L$61,'Raw Data'!$A$2:$A$61,$B80,'Raw Data'!$B$2:$B$61,$A80)/1000000</f>
        <v>0.3703486</v>
      </c>
    </row>
    <row r="81" customFormat="false" ht="15" hidden="false" customHeight="false" outlineLevel="0" collapsed="false">
      <c r="A81" s="6" t="n">
        <v>4</v>
      </c>
      <c r="B81" s="6" t="s">
        <v>42</v>
      </c>
      <c r="C81" s="11" t="n">
        <f aca="false">MAX('Raw Data'!$D$2:$D$61)/2</f>
        <v>500</v>
      </c>
      <c r="D81" s="9" t="n">
        <v>106.6</v>
      </c>
      <c r="E81" s="9" t="n">
        <v>893.8</v>
      </c>
      <c r="F81" s="12" t="n">
        <f aca="false">AVERAGEIFS('Raw Data'!$M$2:$M$61,'Raw Data'!$A$2:$A$61,$B81,'Raw Data'!$B$2:$B$61,$A81)</f>
        <v>0.69388</v>
      </c>
      <c r="G81" s="13" t="n">
        <f aca="false">AVERAGEIFS('Raw Data'!$L$2:$L$61,'Raw Data'!$A$2:$A$61,$B81,'Raw Data'!$B$2:$B$61,$A81)/1000000</f>
        <v>0.4616828</v>
      </c>
    </row>
    <row r="82" customFormat="false" ht="15" hidden="false" customHeight="false" outlineLevel="0" collapsed="false">
      <c r="A82" s="6" t="n">
        <v>4</v>
      </c>
      <c r="B82" s="6" t="s">
        <v>43</v>
      </c>
      <c r="C82" s="11" t="n">
        <f aca="false">MAX('Raw Data'!$D$2:$D$61)/2</f>
        <v>500</v>
      </c>
      <c r="D82" s="9" t="n">
        <v>210</v>
      </c>
      <c r="E82" s="9" t="n">
        <v>815.4</v>
      </c>
      <c r="F82" s="12" t="n">
        <f aca="false">AVERAGEIFS('Raw Data'!$M$2:$M$61,'Raw Data'!$A$2:$A$61,$B82,'Raw Data'!$B$2:$B$61,$A82)</f>
        <v>0.79116</v>
      </c>
      <c r="G82" s="13" t="n">
        <f aca="false">AVERAGEIFS('Raw Data'!$L$2:$L$61,'Raw Data'!$A$2:$A$61,$B82,'Raw Data'!$B$2:$B$61,$A82)/1000000</f>
        <v>0.5892204</v>
      </c>
    </row>
    <row r="83" customFormat="false" ht="15" hidden="false" customHeight="false" outlineLevel="0" collapsed="false">
      <c r="A83" s="6" t="n">
        <v>4</v>
      </c>
      <c r="B83" s="6" t="s">
        <v>44</v>
      </c>
      <c r="C83" s="11" t="n">
        <f aca="false">MAX('Raw Data'!$D$2:$D$61)/2</f>
        <v>500</v>
      </c>
      <c r="D83" s="9" t="n">
        <v>224</v>
      </c>
      <c r="E83" s="9" t="n">
        <v>885.6</v>
      </c>
      <c r="F83" s="12" t="n">
        <f aca="false">AVERAGEIFS('Raw Data'!$M$2:$M$61,'Raw Data'!$A$2:$A$61,$B83,'Raw Data'!$B$2:$B$61,$A83)</f>
        <v>0.75582</v>
      </c>
      <c r="G83" s="13" t="n">
        <f aca="false">AVERAGEIFS('Raw Data'!$L$2:$L$61,'Raw Data'!$A$2:$A$61,$B83,'Raw Data'!$B$2:$B$61,$A83)/1000000</f>
        <v>0.602636</v>
      </c>
    </row>
    <row r="84" customFormat="false" ht="15" hidden="false" customHeight="false" outlineLevel="0" collapsed="false">
      <c r="A84" s="6" t="n">
        <v>8</v>
      </c>
      <c r="B84" s="6" t="s">
        <v>42</v>
      </c>
      <c r="C84" s="11" t="n">
        <f aca="false">MAX('Raw Data'!$D$2:$D$61)/2</f>
        <v>500</v>
      </c>
      <c r="D84" s="9" t="n">
        <v>28.4</v>
      </c>
      <c r="E84" s="9" t="n">
        <v>1000</v>
      </c>
      <c r="F84" s="12" t="n">
        <f aca="false">AVERAGEIFS('Raw Data'!$M$2:$M$61,'Raw Data'!$A$2:$A$61,$B84,'Raw Data'!$B$2:$B$61,$A84)</f>
        <v>0.56084</v>
      </c>
      <c r="G84" s="13" t="n">
        <f aca="false">AVERAGEIFS('Raw Data'!$L$2:$L$61,'Raw Data'!$A$2:$A$61,$B84,'Raw Data'!$B$2:$B$61,$A84)/1000000</f>
        <v>1.7200704</v>
      </c>
    </row>
    <row r="85" customFormat="false" ht="15" hidden="false" customHeight="false" outlineLevel="0" collapsed="false">
      <c r="A85" s="6" t="n">
        <v>8</v>
      </c>
      <c r="B85" s="6" t="s">
        <v>43</v>
      </c>
      <c r="C85" s="11" t="n">
        <f aca="false">MAX('Raw Data'!$D$2:$D$61)/2</f>
        <v>500</v>
      </c>
      <c r="D85" s="9" t="n">
        <v>69.2</v>
      </c>
      <c r="E85" s="9" t="n">
        <v>1000</v>
      </c>
      <c r="F85" s="12" t="n">
        <f aca="false">AVERAGEIFS('Raw Data'!$M$2:$M$61,'Raw Data'!$A$2:$A$61,$B85,'Raw Data'!$B$2:$B$61,$A85)</f>
        <v>0.69362</v>
      </c>
      <c r="G85" s="13" t="n">
        <f aca="false">AVERAGEIFS('Raw Data'!$L$2:$L$61,'Raw Data'!$A$2:$A$61,$B85,'Raw Data'!$B$2:$B$61,$A85)/1000000</f>
        <v>9.2079098</v>
      </c>
    </row>
    <row r="86" customFormat="false" ht="15" hidden="false" customHeight="false" outlineLevel="0" collapsed="false">
      <c r="A86" s="6" t="n">
        <v>8</v>
      </c>
      <c r="B86" s="6" t="s">
        <v>44</v>
      </c>
      <c r="C86" s="11" t="n">
        <f aca="false">MAX('Raw Data'!$D$2:$D$61)/2</f>
        <v>500</v>
      </c>
      <c r="D86" s="9" t="n">
        <v>177.6</v>
      </c>
      <c r="E86" s="9" t="n">
        <v>952</v>
      </c>
      <c r="F86" s="12" t="n">
        <f aca="false">AVERAGEIFS('Raw Data'!$M$2:$M$61,'Raw Data'!$A$2:$A$61,$B86,'Raw Data'!$B$2:$B$61,$A86)</f>
        <v>0.77256</v>
      </c>
      <c r="G86" s="13" t="n">
        <f aca="false">AVERAGEIFS('Raw Data'!$L$2:$L$61,'Raw Data'!$A$2:$A$61,$B86,'Raw Data'!$B$2:$B$61,$A86)/1000000</f>
        <v>1.3287796</v>
      </c>
    </row>
    <row r="87" customFormat="false" ht="15" hidden="false" customHeight="false" outlineLevel="0" collapsed="false">
      <c r="A87" s="6" t="n">
        <v>16</v>
      </c>
      <c r="B87" s="6" t="s">
        <v>42</v>
      </c>
      <c r="C87" s="11" t="n">
        <f aca="false">MAX('Raw Data'!$D$2:$D$61)/2</f>
        <v>500</v>
      </c>
      <c r="D87" s="9" t="n">
        <v>0</v>
      </c>
      <c r="E87" s="9" t="n">
        <v>1000</v>
      </c>
      <c r="F87" s="12" t="n">
        <f aca="false">AVERAGEIFS('Raw Data'!$M$2:$M$61,'Raw Data'!$A$2:$A$61,$B87,'Raw Data'!$B$2:$B$61,$A87)</f>
        <v>0.56856</v>
      </c>
      <c r="G87" s="13" t="n">
        <f aca="false">AVERAGEIFS('Raw Data'!$L$2:$L$61,'Raw Data'!$A$2:$A$61,$B87,'Raw Data'!$B$2:$B$61,$A87)/1000000</f>
        <v>6.9907544</v>
      </c>
    </row>
    <row r="88" customFormat="false" ht="15" hidden="false" customHeight="false" outlineLevel="0" collapsed="false">
      <c r="A88" s="6" t="n">
        <v>16</v>
      </c>
      <c r="B88" s="6" t="s">
        <v>43</v>
      </c>
      <c r="C88" s="11" t="n">
        <f aca="false">MAX('Raw Data'!$D$2:$D$61)/2</f>
        <v>500</v>
      </c>
      <c r="D88" s="9" t="n">
        <v>130.8</v>
      </c>
      <c r="E88" s="9" t="n">
        <v>1000</v>
      </c>
      <c r="F88" s="12" t="n">
        <f aca="false">AVERAGEIFS('Raw Data'!$M$2:$M$61,'Raw Data'!$A$2:$A$61,$B88,'Raw Data'!$B$2:$B$61,$A88)</f>
        <v>0.62342</v>
      </c>
      <c r="G88" s="13" t="n">
        <f aca="false">AVERAGEIFS('Raw Data'!$L$2:$L$61,'Raw Data'!$A$2:$A$61,$B88,'Raw Data'!$B$2:$B$61,$A88)/1000000</f>
        <v>10473.9035646</v>
      </c>
    </row>
    <row r="89" customFormat="false" ht="15" hidden="false" customHeight="false" outlineLevel="0" collapsed="false">
      <c r="A89" s="6" t="n">
        <v>16</v>
      </c>
      <c r="B89" s="6" t="s">
        <v>44</v>
      </c>
      <c r="C89" s="11" t="n">
        <f aca="false">MAX('Raw Data'!$D$2:$D$61)/2</f>
        <v>500</v>
      </c>
      <c r="D89" s="9" t="n">
        <v>0</v>
      </c>
      <c r="E89" s="9" t="n">
        <v>1000</v>
      </c>
      <c r="F89" s="12" t="n">
        <f aca="false">AVERAGEIFS('Raw Data'!$M$2:$M$61,'Raw Data'!$A$2:$A$61,$B89,'Raw Data'!$B$2:$B$61,$A89)</f>
        <v>0.54862</v>
      </c>
      <c r="G89" s="13" t="n">
        <f aca="false">AVERAGEIFS('Raw Data'!$L$2:$L$61,'Raw Data'!$A$2:$A$61,$B89,'Raw Data'!$B$2:$B$61,$A89)/1000000</f>
        <v>174.2426186</v>
      </c>
    </row>
    <row r="91" customFormat="false" ht="15" hidden="false" customHeight="false" outlineLevel="0" collapsed="false">
      <c r="A91" s="2" t="s">
        <v>76</v>
      </c>
    </row>
    <row r="92" customFormat="false" ht="15" hidden="false" customHeight="false" outlineLevel="0" collapsed="false">
      <c r="A92" s="5" t="s">
        <v>77</v>
      </c>
    </row>
    <row r="93" customFormat="false" ht="15" hidden="false" customHeight="false" outlineLevel="0" collapsed="false">
      <c r="A93" s="3" t="s">
        <v>14</v>
      </c>
      <c r="B93" s="3" t="s">
        <v>37</v>
      </c>
      <c r="C93" s="3" t="s">
        <v>47</v>
      </c>
      <c r="D93" s="3" t="s">
        <v>48</v>
      </c>
      <c r="E93" s="3" t="s">
        <v>49</v>
      </c>
      <c r="F93" s="3" t="s">
        <v>50</v>
      </c>
      <c r="G93" s="3" t="s">
        <v>51</v>
      </c>
      <c r="H93" s="3" t="s">
        <v>52</v>
      </c>
      <c r="I93" s="3" t="s">
        <v>53</v>
      </c>
      <c r="J93" s="3" t="s">
        <v>54</v>
      </c>
      <c r="K93" s="3" t="s">
        <v>55</v>
      </c>
      <c r="L93" s="3" t="s">
        <v>56</v>
      </c>
      <c r="M93" s="3" t="s">
        <v>57</v>
      </c>
      <c r="N93" s="3" t="s">
        <v>58</v>
      </c>
      <c r="O93" s="3" t="s">
        <v>59</v>
      </c>
      <c r="P93" s="3" t="s">
        <v>60</v>
      </c>
      <c r="Q93" s="3" t="s">
        <v>61</v>
      </c>
      <c r="R93" s="3" t="s">
        <v>62</v>
      </c>
    </row>
    <row r="94" customFormat="false" ht="15" hidden="false" customHeight="false" outlineLevel="0" collapsed="false">
      <c r="A94" s="6" t="n">
        <v>2</v>
      </c>
      <c r="B94" s="6" t="s">
        <v>42</v>
      </c>
      <c r="C94" s="9" t="n">
        <v>625.2</v>
      </c>
      <c r="D94" s="9" t="n">
        <v>374.8</v>
      </c>
    </row>
    <row r="95" customFormat="false" ht="15" hidden="false" customHeight="false" outlineLevel="0" collapsed="false">
      <c r="A95" s="6" t="n">
        <v>2</v>
      </c>
      <c r="B95" s="6" t="s">
        <v>43</v>
      </c>
      <c r="C95" s="9" t="n">
        <v>537.8</v>
      </c>
      <c r="D95" s="9" t="n">
        <v>462.2</v>
      </c>
    </row>
    <row r="96" customFormat="false" ht="15" hidden="false" customHeight="false" outlineLevel="0" collapsed="false">
      <c r="A96" s="6" t="n">
        <v>2</v>
      </c>
      <c r="B96" s="6" t="s">
        <v>44</v>
      </c>
      <c r="C96" s="9" t="n">
        <v>485.2</v>
      </c>
      <c r="D96" s="9" t="n">
        <v>514.8</v>
      </c>
    </row>
    <row r="97" customFormat="false" ht="15" hidden="false" customHeight="false" outlineLevel="0" collapsed="false">
      <c r="A97" s="6" t="n">
        <v>4</v>
      </c>
      <c r="B97" s="6" t="s">
        <v>42</v>
      </c>
      <c r="C97" s="9" t="n">
        <v>622.2</v>
      </c>
      <c r="D97" s="9" t="n">
        <v>759</v>
      </c>
      <c r="E97" s="9" t="n">
        <v>322.2</v>
      </c>
      <c r="F97" s="9" t="n">
        <v>296.6</v>
      </c>
    </row>
    <row r="98" customFormat="false" ht="15" hidden="false" customHeight="false" outlineLevel="0" collapsed="false">
      <c r="A98" s="6" t="n">
        <v>4</v>
      </c>
      <c r="B98" s="6" t="s">
        <v>43</v>
      </c>
      <c r="C98" s="9" t="n">
        <v>797.8</v>
      </c>
      <c r="D98" s="9" t="n">
        <v>629</v>
      </c>
      <c r="E98" s="9" t="n">
        <v>363.2</v>
      </c>
      <c r="F98" s="9" t="n">
        <v>210</v>
      </c>
    </row>
    <row r="99" customFormat="false" ht="15" hidden="false" customHeight="false" outlineLevel="0" collapsed="false">
      <c r="A99" s="6" t="n">
        <v>4</v>
      </c>
      <c r="B99" s="6" t="s">
        <v>44</v>
      </c>
      <c r="C99" s="9" t="n">
        <v>843.6</v>
      </c>
      <c r="D99" s="9" t="n">
        <v>615.2</v>
      </c>
      <c r="E99" s="9" t="n">
        <v>317.2</v>
      </c>
      <c r="F99" s="9" t="n">
        <v>224</v>
      </c>
    </row>
    <row r="100" customFormat="false" ht="15" hidden="false" customHeight="false" outlineLevel="0" collapsed="false">
      <c r="A100" s="6" t="n">
        <v>8</v>
      </c>
      <c r="B100" s="6" t="s">
        <v>42</v>
      </c>
      <c r="C100" s="9" t="n">
        <v>1000</v>
      </c>
      <c r="D100" s="9" t="n">
        <v>997.8</v>
      </c>
      <c r="E100" s="9" t="n">
        <v>721.6</v>
      </c>
      <c r="F100" s="9" t="n">
        <v>728.8</v>
      </c>
      <c r="G100" s="9" t="n">
        <v>290.6</v>
      </c>
      <c r="H100" s="9" t="n">
        <v>98.4</v>
      </c>
      <c r="I100" s="9" t="n">
        <v>117</v>
      </c>
      <c r="J100" s="9" t="n">
        <v>45.8</v>
      </c>
    </row>
    <row r="101" customFormat="false" ht="15" hidden="false" customHeight="false" outlineLevel="0" collapsed="false">
      <c r="A101" s="6" t="n">
        <v>8</v>
      </c>
      <c r="B101" s="6" t="s">
        <v>43</v>
      </c>
      <c r="C101" s="9" t="n">
        <v>1000</v>
      </c>
      <c r="D101" s="9" t="n">
        <v>711.4</v>
      </c>
      <c r="E101" s="9" t="n">
        <v>736.6</v>
      </c>
      <c r="F101" s="9" t="n">
        <v>669</v>
      </c>
      <c r="G101" s="9" t="n">
        <v>339.6</v>
      </c>
      <c r="H101" s="9" t="n">
        <v>208.8</v>
      </c>
      <c r="I101" s="9" t="n">
        <v>252.8</v>
      </c>
      <c r="J101" s="9" t="n">
        <v>81.8</v>
      </c>
    </row>
    <row r="102" customFormat="false" ht="15" hidden="false" customHeight="false" outlineLevel="0" collapsed="false">
      <c r="A102" s="6" t="n">
        <v>8</v>
      </c>
      <c r="B102" s="6" t="s">
        <v>44</v>
      </c>
      <c r="C102" s="9" t="n">
        <v>952</v>
      </c>
      <c r="D102" s="9" t="n">
        <v>765.6</v>
      </c>
      <c r="E102" s="9" t="n">
        <v>664</v>
      </c>
      <c r="F102" s="9" t="n">
        <v>532.2</v>
      </c>
      <c r="G102" s="9" t="n">
        <v>354.8</v>
      </c>
      <c r="H102" s="9" t="n">
        <v>291</v>
      </c>
      <c r="I102" s="9" t="n">
        <v>196.8</v>
      </c>
      <c r="J102" s="9" t="n">
        <v>243.6</v>
      </c>
    </row>
    <row r="103" customFormat="false" ht="15" hidden="false" customHeight="false" outlineLevel="0" collapsed="false">
      <c r="A103" s="6" t="n">
        <v>16</v>
      </c>
      <c r="B103" s="6" t="s">
        <v>42</v>
      </c>
      <c r="C103" s="9" t="n">
        <v>1000</v>
      </c>
      <c r="D103" s="9" t="n">
        <v>1000</v>
      </c>
      <c r="E103" s="9" t="n">
        <v>815.2</v>
      </c>
      <c r="F103" s="9" t="n">
        <v>667.8</v>
      </c>
      <c r="G103" s="9" t="n">
        <v>859.4</v>
      </c>
      <c r="H103" s="9" t="n">
        <v>988</v>
      </c>
      <c r="I103" s="9" t="n">
        <v>979.6</v>
      </c>
      <c r="J103" s="9" t="n">
        <v>686</v>
      </c>
      <c r="K103" s="9" t="n">
        <v>326</v>
      </c>
      <c r="L103" s="9" t="n">
        <v>214</v>
      </c>
      <c r="M103" s="9" t="n">
        <v>195.8</v>
      </c>
      <c r="N103" s="9" t="n">
        <v>44.2</v>
      </c>
      <c r="O103" s="9" t="n">
        <v>20.8</v>
      </c>
      <c r="P103" s="9" t="n">
        <v>9</v>
      </c>
      <c r="Q103" s="9" t="n">
        <v>0</v>
      </c>
      <c r="R103" s="9" t="n">
        <v>194.2</v>
      </c>
    </row>
    <row r="104" customFormat="false" ht="15" hidden="false" customHeight="false" outlineLevel="0" collapsed="false">
      <c r="A104" s="6" t="n">
        <v>16</v>
      </c>
      <c r="B104" s="6" t="s">
        <v>43</v>
      </c>
      <c r="C104" s="9" t="n">
        <v>1000</v>
      </c>
      <c r="D104" s="9" t="n">
        <v>996.2</v>
      </c>
      <c r="E104" s="9" t="n">
        <v>710.4</v>
      </c>
      <c r="F104" s="9" t="n">
        <v>869</v>
      </c>
      <c r="G104" s="9" t="n">
        <v>910.4</v>
      </c>
      <c r="H104" s="9" t="n">
        <v>772</v>
      </c>
      <c r="I104" s="9" t="n">
        <v>553.8</v>
      </c>
      <c r="J104" s="9" t="n">
        <v>697.6</v>
      </c>
      <c r="K104" s="9" t="n">
        <v>371</v>
      </c>
      <c r="L104" s="9" t="n">
        <v>331.8</v>
      </c>
      <c r="M104" s="9" t="n">
        <v>131.8</v>
      </c>
      <c r="N104" s="9" t="n">
        <v>131.6</v>
      </c>
      <c r="O104" s="9" t="n">
        <v>131.4</v>
      </c>
      <c r="P104" s="9" t="n">
        <v>131.2</v>
      </c>
      <c r="Q104" s="9" t="n">
        <v>131</v>
      </c>
      <c r="R104" s="9" t="n">
        <v>130.8</v>
      </c>
    </row>
    <row r="105" customFormat="false" ht="15" hidden="false" customHeight="false" outlineLevel="0" collapsed="false">
      <c r="A105" s="6" t="n">
        <v>16</v>
      </c>
      <c r="B105" s="6" t="s">
        <v>44</v>
      </c>
      <c r="C105" s="9" t="n">
        <v>1000</v>
      </c>
      <c r="D105" s="9" t="n">
        <v>1000</v>
      </c>
      <c r="E105" s="9" t="n">
        <v>995</v>
      </c>
      <c r="F105" s="9" t="n">
        <v>999.8</v>
      </c>
      <c r="G105" s="9" t="n">
        <v>790.4</v>
      </c>
      <c r="H105" s="9" t="n">
        <v>891.6</v>
      </c>
      <c r="I105" s="9" t="n">
        <v>843</v>
      </c>
      <c r="J105" s="9" t="n">
        <v>834.4</v>
      </c>
      <c r="K105" s="9" t="n">
        <v>561.2</v>
      </c>
      <c r="L105" s="9" t="n">
        <v>69</v>
      </c>
      <c r="M105" s="9" t="n">
        <v>15.6</v>
      </c>
      <c r="N105" s="9" t="n">
        <v>0</v>
      </c>
      <c r="O105" s="9" t="n">
        <v>0</v>
      </c>
      <c r="P105" s="9" t="n">
        <v>0</v>
      </c>
      <c r="Q105" s="9" t="n">
        <v>0</v>
      </c>
      <c r="R105" s="9" t="n">
        <v>0</v>
      </c>
    </row>
    <row r="107" customFormat="false" ht="15" hidden="false" customHeight="false" outlineLevel="0" collapsed="false">
      <c r="A107" s="5" t="s">
        <v>78</v>
      </c>
    </row>
  </sheetData>
  <mergeCells count="12"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6"/>
    <col collapsed="false" customWidth="true" hidden="false" outlineLevel="0" max="15" min="14" style="0" width="44"/>
  </cols>
  <sheetData>
    <row r="1" customFormat="false" ht="26.85" hidden="false" customHeight="false" outlineLevel="0" collapsed="false">
      <c r="A1" s="14" t="s">
        <v>79</v>
      </c>
      <c r="B1" s="14" t="s">
        <v>80</v>
      </c>
      <c r="C1" s="14" t="s">
        <v>81</v>
      </c>
      <c r="D1" s="14" t="s">
        <v>82</v>
      </c>
      <c r="E1" s="14" t="s">
        <v>83</v>
      </c>
      <c r="F1" s="14" t="s">
        <v>84</v>
      </c>
      <c r="G1" s="14" t="s">
        <v>85</v>
      </c>
      <c r="H1" s="14" t="s">
        <v>86</v>
      </c>
      <c r="I1" s="14" t="s">
        <v>87</v>
      </c>
      <c r="J1" s="14" t="s">
        <v>88</v>
      </c>
      <c r="K1" s="14" t="s">
        <v>89</v>
      </c>
      <c r="L1" s="14" t="s">
        <v>90</v>
      </c>
      <c r="M1" s="14" t="s">
        <v>91</v>
      </c>
      <c r="N1" s="14" t="s">
        <v>92</v>
      </c>
      <c r="O1" s="14" t="s">
        <v>93</v>
      </c>
    </row>
    <row r="2" customFormat="false" ht="15" hidden="false" customHeight="false" outlineLevel="0" collapsed="false">
      <c r="A2" s="15" t="s">
        <v>42</v>
      </c>
      <c r="B2" s="15" t="n">
        <v>2</v>
      </c>
      <c r="C2" s="15" t="n">
        <v>1</v>
      </c>
      <c r="D2" s="15" t="n">
        <v>1000</v>
      </c>
      <c r="E2" s="15" t="n">
        <v>2304858</v>
      </c>
      <c r="F2" s="15" t="n">
        <v>2000</v>
      </c>
      <c r="G2" s="15" t="n">
        <v>2000</v>
      </c>
      <c r="H2" s="15" t="n">
        <v>1</v>
      </c>
      <c r="I2" s="15" t="n">
        <v>870.4</v>
      </c>
      <c r="J2" s="15" t="n">
        <v>1574</v>
      </c>
      <c r="K2" s="15" t="n">
        <v>55054</v>
      </c>
      <c r="L2" s="15" t="n">
        <v>189628</v>
      </c>
      <c r="M2" s="15" t="n">
        <v>0.9593</v>
      </c>
      <c r="N2" s="15" t="s">
        <v>94</v>
      </c>
      <c r="O2" s="15" t="s">
        <v>95</v>
      </c>
    </row>
    <row r="3" customFormat="false" ht="15" hidden="false" customHeight="false" outlineLevel="0" collapsed="false">
      <c r="A3" s="15" t="s">
        <v>42</v>
      </c>
      <c r="B3" s="15" t="n">
        <v>2</v>
      </c>
      <c r="C3" s="15" t="n">
        <v>2</v>
      </c>
      <c r="D3" s="15" t="n">
        <v>1000</v>
      </c>
      <c r="E3" s="15" t="n">
        <v>2096061</v>
      </c>
      <c r="F3" s="15" t="n">
        <v>2000</v>
      </c>
      <c r="G3" s="15" t="n">
        <v>2000</v>
      </c>
      <c r="H3" s="15" t="n">
        <v>1</v>
      </c>
      <c r="I3" s="15" t="n">
        <v>730.4</v>
      </c>
      <c r="J3" s="15" t="n">
        <v>1468</v>
      </c>
      <c r="K3" s="15" t="n">
        <v>144171</v>
      </c>
      <c r="L3" s="15" t="n">
        <v>583824</v>
      </c>
      <c r="M3" s="15" t="n">
        <v>0.9273</v>
      </c>
      <c r="N3" s="15" t="s">
        <v>94</v>
      </c>
      <c r="O3" s="15" t="s">
        <v>96</v>
      </c>
    </row>
    <row r="4" customFormat="false" ht="15" hidden="false" customHeight="false" outlineLevel="0" collapsed="false">
      <c r="A4" s="15" t="s">
        <v>42</v>
      </c>
      <c r="B4" s="15" t="n">
        <v>2</v>
      </c>
      <c r="C4" s="15" t="n">
        <v>3</v>
      </c>
      <c r="D4" s="15" t="n">
        <v>1000</v>
      </c>
      <c r="E4" s="15" t="n">
        <v>1182385</v>
      </c>
      <c r="F4" s="15" t="n">
        <v>2000</v>
      </c>
      <c r="G4" s="15" t="n">
        <v>2000</v>
      </c>
      <c r="H4" s="15" t="n">
        <v>1</v>
      </c>
      <c r="I4" s="15" t="n">
        <v>483.6</v>
      </c>
      <c r="J4" s="15" t="n">
        <v>830</v>
      </c>
      <c r="K4" s="15" t="n">
        <v>6774</v>
      </c>
      <c r="L4" s="15" t="n">
        <v>176436</v>
      </c>
      <c r="M4" s="15" t="n">
        <v>0.9889</v>
      </c>
      <c r="N4" s="15" t="s">
        <v>94</v>
      </c>
      <c r="O4" s="15" t="s">
        <v>97</v>
      </c>
    </row>
    <row r="5" customFormat="false" ht="15" hidden="false" customHeight="false" outlineLevel="0" collapsed="false">
      <c r="A5" s="15" t="s">
        <v>42</v>
      </c>
      <c r="B5" s="15" t="n">
        <v>2</v>
      </c>
      <c r="C5" s="15" t="n">
        <v>4</v>
      </c>
      <c r="D5" s="15" t="n">
        <v>1000</v>
      </c>
      <c r="E5" s="15" t="n">
        <v>803951</v>
      </c>
      <c r="F5" s="15" t="n">
        <v>2000</v>
      </c>
      <c r="G5" s="15" t="n">
        <v>2000</v>
      </c>
      <c r="H5" s="15" t="n">
        <v>1</v>
      </c>
      <c r="I5" s="15" t="n">
        <v>243.6</v>
      </c>
      <c r="J5" s="15" t="n">
        <v>765</v>
      </c>
      <c r="K5" s="15" t="n">
        <v>125454</v>
      </c>
      <c r="L5" s="15" t="n">
        <v>247599</v>
      </c>
      <c r="M5" s="15" t="n">
        <v>0.8875</v>
      </c>
      <c r="N5" s="15" t="s">
        <v>94</v>
      </c>
      <c r="O5" s="15" t="s">
        <v>98</v>
      </c>
    </row>
    <row r="6" customFormat="false" ht="15" hidden="false" customHeight="false" outlineLevel="0" collapsed="false">
      <c r="A6" s="15" t="s">
        <v>42</v>
      </c>
      <c r="B6" s="15" t="n">
        <v>2</v>
      </c>
      <c r="C6" s="15" t="n">
        <v>5</v>
      </c>
      <c r="D6" s="15" t="n">
        <v>1000</v>
      </c>
      <c r="E6" s="15" t="n">
        <v>565530</v>
      </c>
      <c r="F6" s="15" t="n">
        <v>2000</v>
      </c>
      <c r="G6" s="15" t="n">
        <v>2000</v>
      </c>
      <c r="H6" s="15" t="n">
        <v>1</v>
      </c>
      <c r="I6" s="15" t="n">
        <v>182.1</v>
      </c>
      <c r="J6" s="15" t="n">
        <v>242</v>
      </c>
      <c r="K6" s="15" t="n">
        <v>56218</v>
      </c>
      <c r="L6" s="15" t="n">
        <v>172262</v>
      </c>
      <c r="M6" s="15" t="n">
        <v>0.9154</v>
      </c>
      <c r="N6" s="15" t="s">
        <v>94</v>
      </c>
      <c r="O6" s="15" t="s">
        <v>99</v>
      </c>
    </row>
    <row r="7" customFormat="false" ht="15" hidden="false" customHeight="false" outlineLevel="0" collapsed="false">
      <c r="A7" s="15" t="s">
        <v>42</v>
      </c>
      <c r="B7" s="15" t="n">
        <v>4</v>
      </c>
      <c r="C7" s="15" t="n">
        <v>1</v>
      </c>
      <c r="D7" s="15" t="n">
        <v>1000</v>
      </c>
      <c r="E7" s="15" t="n">
        <v>1667709</v>
      </c>
      <c r="F7" s="15" t="n">
        <v>4000</v>
      </c>
      <c r="G7" s="15" t="n">
        <v>4000</v>
      </c>
      <c r="H7" s="15" t="n">
        <v>3</v>
      </c>
      <c r="I7" s="15" t="n">
        <v>841</v>
      </c>
      <c r="J7" s="15" t="n">
        <v>7733</v>
      </c>
      <c r="K7" s="15" t="n">
        <v>104807</v>
      </c>
      <c r="L7" s="15" t="n">
        <v>572257</v>
      </c>
      <c r="M7" s="15" t="n">
        <v>0.7681</v>
      </c>
      <c r="N7" s="15" t="s">
        <v>100</v>
      </c>
      <c r="O7" s="15" t="s">
        <v>101</v>
      </c>
    </row>
    <row r="8" customFormat="false" ht="15" hidden="false" customHeight="false" outlineLevel="0" collapsed="false">
      <c r="A8" s="15" t="s">
        <v>42</v>
      </c>
      <c r="B8" s="15" t="n">
        <v>4</v>
      </c>
      <c r="C8" s="15" t="n">
        <v>2</v>
      </c>
      <c r="D8" s="15" t="n">
        <v>1000</v>
      </c>
      <c r="E8" s="15" t="n">
        <v>1039607</v>
      </c>
      <c r="F8" s="15" t="n">
        <v>4000</v>
      </c>
      <c r="G8" s="15" t="n">
        <v>4000</v>
      </c>
      <c r="H8" s="15" t="n">
        <v>0</v>
      </c>
      <c r="I8" s="15" t="n">
        <v>537.2</v>
      </c>
      <c r="J8" s="15" t="n">
        <v>1673</v>
      </c>
      <c r="K8" s="15" t="n">
        <v>806922</v>
      </c>
      <c r="L8" s="15" t="n">
        <v>236399</v>
      </c>
      <c r="M8" s="15" t="n">
        <v>0.8884</v>
      </c>
      <c r="N8" s="15" t="s">
        <v>100</v>
      </c>
      <c r="O8" s="15" t="s">
        <v>102</v>
      </c>
    </row>
    <row r="9" customFormat="false" ht="15" hidden="false" customHeight="false" outlineLevel="0" collapsed="false">
      <c r="A9" s="15" t="s">
        <v>42</v>
      </c>
      <c r="B9" s="15" t="n">
        <v>4</v>
      </c>
      <c r="C9" s="15" t="n">
        <v>3</v>
      </c>
      <c r="D9" s="15" t="n">
        <v>1000</v>
      </c>
      <c r="E9" s="15" t="n">
        <v>784296</v>
      </c>
      <c r="F9" s="15" t="n">
        <v>4000</v>
      </c>
      <c r="G9" s="15" t="n">
        <v>4000</v>
      </c>
      <c r="H9" s="15" t="n">
        <v>2</v>
      </c>
      <c r="I9" s="15" t="n">
        <v>237.2</v>
      </c>
      <c r="J9" s="15" t="n">
        <v>2002</v>
      </c>
      <c r="K9" s="15" t="n">
        <v>30675</v>
      </c>
      <c r="L9" s="15" t="n">
        <v>277567</v>
      </c>
      <c r="M9" s="15" t="n">
        <v>0.6653</v>
      </c>
      <c r="N9" s="15" t="s">
        <v>100</v>
      </c>
      <c r="O9" s="15" t="s">
        <v>103</v>
      </c>
    </row>
    <row r="10" customFormat="false" ht="15" hidden="false" customHeight="false" outlineLevel="0" collapsed="false">
      <c r="A10" s="15" t="s">
        <v>42</v>
      </c>
      <c r="B10" s="15" t="n">
        <v>4</v>
      </c>
      <c r="C10" s="15" t="n">
        <v>4</v>
      </c>
      <c r="D10" s="15" t="n">
        <v>1000</v>
      </c>
      <c r="E10" s="15" t="n">
        <v>868348</v>
      </c>
      <c r="F10" s="15" t="n">
        <v>4000</v>
      </c>
      <c r="G10" s="15" t="n">
        <v>4000</v>
      </c>
      <c r="H10" s="15" t="n">
        <v>2</v>
      </c>
      <c r="I10" s="15" t="n">
        <v>121.1</v>
      </c>
      <c r="J10" s="15" t="n">
        <v>466</v>
      </c>
      <c r="K10" s="15" t="n">
        <v>89602</v>
      </c>
      <c r="L10" s="15" t="n">
        <v>714493</v>
      </c>
      <c r="M10" s="15" t="n">
        <v>0.5</v>
      </c>
      <c r="N10" s="15" t="s">
        <v>100</v>
      </c>
      <c r="O10" s="15" t="s">
        <v>104</v>
      </c>
    </row>
    <row r="11" customFormat="false" ht="15" hidden="false" customHeight="false" outlineLevel="0" collapsed="false">
      <c r="A11" s="15" t="s">
        <v>42</v>
      </c>
      <c r="B11" s="15" t="n">
        <v>4</v>
      </c>
      <c r="C11" s="15" t="n">
        <v>5</v>
      </c>
      <c r="D11" s="15" t="n">
        <v>1000</v>
      </c>
      <c r="E11" s="15" t="n">
        <v>1102736</v>
      </c>
      <c r="F11" s="15" t="n">
        <v>4000</v>
      </c>
      <c r="G11" s="15" t="n">
        <v>4000</v>
      </c>
      <c r="H11" s="15" t="n">
        <v>3</v>
      </c>
      <c r="I11" s="15" t="n">
        <v>518.3</v>
      </c>
      <c r="J11" s="15" t="n">
        <v>5256</v>
      </c>
      <c r="K11" s="15" t="n">
        <v>51448</v>
      </c>
      <c r="L11" s="15" t="n">
        <v>507698</v>
      </c>
      <c r="M11" s="15" t="n">
        <v>0.6476</v>
      </c>
      <c r="N11" s="15" t="s">
        <v>100</v>
      </c>
      <c r="O11" s="15" t="s">
        <v>105</v>
      </c>
    </row>
    <row r="12" customFormat="false" ht="15" hidden="false" customHeight="false" outlineLevel="0" collapsed="false">
      <c r="A12" s="15" t="s">
        <v>42</v>
      </c>
      <c r="B12" s="15" t="n">
        <v>8</v>
      </c>
      <c r="C12" s="15" t="n">
        <v>1</v>
      </c>
      <c r="D12" s="15" t="n">
        <v>1000</v>
      </c>
      <c r="E12" s="15" t="n">
        <v>1856587</v>
      </c>
      <c r="F12" s="15" t="n">
        <v>8000</v>
      </c>
      <c r="G12" s="15" t="n">
        <v>8000</v>
      </c>
      <c r="H12" s="15" t="n">
        <v>6</v>
      </c>
      <c r="I12" s="15" t="n">
        <v>292.6</v>
      </c>
      <c r="J12" s="15" t="n">
        <v>2323</v>
      </c>
      <c r="K12" s="15" t="n">
        <v>107383</v>
      </c>
      <c r="L12" s="15" t="n">
        <v>1562320</v>
      </c>
      <c r="M12" s="15" t="n">
        <v>0.5365</v>
      </c>
      <c r="N12" s="15" t="s">
        <v>106</v>
      </c>
      <c r="O12" s="15" t="s">
        <v>107</v>
      </c>
    </row>
    <row r="13" customFormat="false" ht="15" hidden="false" customHeight="false" outlineLevel="0" collapsed="false">
      <c r="A13" s="15" t="s">
        <v>42</v>
      </c>
      <c r="B13" s="15" t="n">
        <v>8</v>
      </c>
      <c r="C13" s="15" t="n">
        <v>2</v>
      </c>
      <c r="D13" s="15" t="n">
        <v>1000</v>
      </c>
      <c r="E13" s="15" t="n">
        <v>2251984</v>
      </c>
      <c r="F13" s="15" t="n">
        <v>8000</v>
      </c>
      <c r="G13" s="15" t="n">
        <v>8000</v>
      </c>
      <c r="H13" s="15" t="n">
        <v>7</v>
      </c>
      <c r="I13" s="15" t="n">
        <v>1120.1</v>
      </c>
      <c r="J13" s="15" t="n">
        <v>10939</v>
      </c>
      <c r="K13" s="15" t="n">
        <v>313200</v>
      </c>
      <c r="L13" s="15" t="n">
        <v>1823952</v>
      </c>
      <c r="M13" s="15" t="n">
        <v>0.6541</v>
      </c>
      <c r="N13" s="15" t="s">
        <v>106</v>
      </c>
      <c r="O13" s="15" t="s">
        <v>108</v>
      </c>
    </row>
    <row r="14" customFormat="false" ht="15" hidden="false" customHeight="false" outlineLevel="0" collapsed="false">
      <c r="A14" s="15" t="s">
        <v>42</v>
      </c>
      <c r="B14" s="15" t="n">
        <v>8</v>
      </c>
      <c r="C14" s="15" t="n">
        <v>3</v>
      </c>
      <c r="D14" s="15" t="n">
        <v>1000</v>
      </c>
      <c r="E14" s="15" t="n">
        <v>2162274</v>
      </c>
      <c r="F14" s="15" t="n">
        <v>8000</v>
      </c>
      <c r="G14" s="15" t="n">
        <v>8000</v>
      </c>
      <c r="H14" s="15" t="n">
        <v>5</v>
      </c>
      <c r="I14" s="15" t="n">
        <v>172.2</v>
      </c>
      <c r="J14" s="15" t="n">
        <v>307</v>
      </c>
      <c r="K14" s="15" t="n">
        <v>508493</v>
      </c>
      <c r="L14" s="15" t="n">
        <v>1954864</v>
      </c>
      <c r="M14" s="15" t="n">
        <v>0.5</v>
      </c>
      <c r="N14" s="15" t="s">
        <v>106</v>
      </c>
      <c r="O14" s="15" t="s">
        <v>109</v>
      </c>
    </row>
    <row r="15" customFormat="false" ht="15" hidden="false" customHeight="false" outlineLevel="0" collapsed="false">
      <c r="A15" s="15" t="s">
        <v>42</v>
      </c>
      <c r="B15" s="15" t="n">
        <v>8</v>
      </c>
      <c r="C15" s="15" t="n">
        <v>4</v>
      </c>
      <c r="D15" s="15" t="n">
        <v>1000</v>
      </c>
      <c r="E15" s="15" t="n">
        <v>1625347</v>
      </c>
      <c r="F15" s="15" t="n">
        <v>8000</v>
      </c>
      <c r="G15" s="15" t="n">
        <v>8000</v>
      </c>
      <c r="H15" s="15" t="n">
        <v>3</v>
      </c>
      <c r="I15" s="15" t="n">
        <v>269.7</v>
      </c>
      <c r="J15" s="15" t="n">
        <v>1533</v>
      </c>
      <c r="K15" s="15" t="n">
        <v>77278</v>
      </c>
      <c r="L15" s="15" t="n">
        <v>1283507</v>
      </c>
      <c r="M15" s="15" t="n">
        <v>0.5</v>
      </c>
      <c r="N15" s="15" t="s">
        <v>106</v>
      </c>
      <c r="O15" s="15" t="s">
        <v>110</v>
      </c>
    </row>
    <row r="16" customFormat="false" ht="15" hidden="false" customHeight="false" outlineLevel="0" collapsed="false">
      <c r="A16" s="15" t="s">
        <v>42</v>
      </c>
      <c r="B16" s="15" t="n">
        <v>8</v>
      </c>
      <c r="C16" s="15" t="n">
        <v>5</v>
      </c>
      <c r="D16" s="15" t="n">
        <v>1000</v>
      </c>
      <c r="E16" s="15" t="n">
        <v>2213486</v>
      </c>
      <c r="F16" s="15" t="n">
        <v>8000</v>
      </c>
      <c r="G16" s="15" t="n">
        <v>8000</v>
      </c>
      <c r="H16" s="15" t="n">
        <v>2</v>
      </c>
      <c r="I16" s="15" t="n">
        <v>926.9</v>
      </c>
      <c r="J16" s="15" t="n">
        <v>9207</v>
      </c>
      <c r="K16" s="15" t="n">
        <v>52217</v>
      </c>
      <c r="L16" s="15" t="n">
        <v>1975709</v>
      </c>
      <c r="M16" s="15" t="n">
        <v>0.6136</v>
      </c>
      <c r="N16" s="15" t="s">
        <v>106</v>
      </c>
      <c r="O16" s="15" t="s">
        <v>111</v>
      </c>
    </row>
    <row r="17" customFormat="false" ht="15" hidden="false" customHeight="false" outlineLevel="0" collapsed="false">
      <c r="A17" s="15" t="s">
        <v>42</v>
      </c>
      <c r="B17" s="15" t="n">
        <v>16</v>
      </c>
      <c r="C17" s="15" t="n">
        <v>1</v>
      </c>
      <c r="D17" s="15" t="n">
        <v>1000</v>
      </c>
      <c r="E17" s="15" t="n">
        <v>5251252</v>
      </c>
      <c r="F17" s="15" t="n">
        <v>16000</v>
      </c>
      <c r="G17" s="15" t="n">
        <v>16000</v>
      </c>
      <c r="H17" s="15" t="n">
        <v>13</v>
      </c>
      <c r="I17" s="15" t="n">
        <v>1769.8</v>
      </c>
      <c r="J17" s="15" t="n">
        <v>11713</v>
      </c>
      <c r="K17" s="15" t="n">
        <v>1200318</v>
      </c>
      <c r="L17" s="15" t="n">
        <v>2790612</v>
      </c>
      <c r="M17" s="15" t="n">
        <v>0.5833</v>
      </c>
      <c r="N17" s="15" t="s">
        <v>112</v>
      </c>
      <c r="O17" s="15" t="s">
        <v>113</v>
      </c>
    </row>
    <row r="18" customFormat="false" ht="15" hidden="false" customHeight="false" outlineLevel="0" collapsed="false">
      <c r="A18" s="15" t="s">
        <v>42</v>
      </c>
      <c r="B18" s="15" t="n">
        <v>16</v>
      </c>
      <c r="C18" s="15" t="n">
        <v>2</v>
      </c>
      <c r="D18" s="15" t="n">
        <v>1000</v>
      </c>
      <c r="E18" s="15" t="n">
        <v>14738159</v>
      </c>
      <c r="F18" s="15" t="n">
        <v>16000</v>
      </c>
      <c r="G18" s="15" t="n">
        <v>16000</v>
      </c>
      <c r="H18" s="15" t="n">
        <v>15</v>
      </c>
      <c r="I18" s="15" t="n">
        <v>4850.6</v>
      </c>
      <c r="J18" s="15" t="n">
        <v>4450</v>
      </c>
      <c r="K18" s="15" t="n">
        <v>9081451</v>
      </c>
      <c r="L18" s="15" t="n">
        <v>14410705</v>
      </c>
      <c r="M18" s="15" t="n">
        <v>0.5697</v>
      </c>
      <c r="N18" s="15" t="s">
        <v>112</v>
      </c>
      <c r="O18" s="15" t="s">
        <v>114</v>
      </c>
    </row>
    <row r="19" customFormat="false" ht="15" hidden="false" customHeight="false" outlineLevel="0" collapsed="false">
      <c r="A19" s="15" t="s">
        <v>42</v>
      </c>
      <c r="B19" s="15" t="n">
        <v>16</v>
      </c>
      <c r="C19" s="15" t="n">
        <v>3</v>
      </c>
      <c r="D19" s="15" t="n">
        <v>1000</v>
      </c>
      <c r="E19" s="15" t="n">
        <v>5012503</v>
      </c>
      <c r="F19" s="15" t="n">
        <v>16000</v>
      </c>
      <c r="G19" s="15" t="n">
        <v>16000</v>
      </c>
      <c r="H19" s="15" t="n">
        <v>12</v>
      </c>
      <c r="I19" s="15" t="n">
        <v>1560.8</v>
      </c>
      <c r="J19" s="15" t="n">
        <v>13426</v>
      </c>
      <c r="K19" s="15" t="n">
        <v>870434</v>
      </c>
      <c r="L19" s="15" t="n">
        <v>3305679</v>
      </c>
      <c r="M19" s="15" t="n">
        <v>0.5846</v>
      </c>
      <c r="N19" s="15" t="s">
        <v>112</v>
      </c>
      <c r="O19" s="15" t="s">
        <v>115</v>
      </c>
    </row>
    <row r="20" customFormat="false" ht="15" hidden="false" customHeight="false" outlineLevel="0" collapsed="false">
      <c r="A20" s="15" t="s">
        <v>42</v>
      </c>
      <c r="B20" s="15" t="n">
        <v>16</v>
      </c>
      <c r="C20" s="15" t="n">
        <v>4</v>
      </c>
      <c r="D20" s="15" t="n">
        <v>1000</v>
      </c>
      <c r="E20" s="15" t="n">
        <v>11219686</v>
      </c>
      <c r="F20" s="15" t="n">
        <v>16000</v>
      </c>
      <c r="G20" s="15" t="n">
        <v>16000</v>
      </c>
      <c r="H20" s="15" t="n">
        <v>9</v>
      </c>
      <c r="I20" s="15" t="n">
        <v>3808</v>
      </c>
      <c r="J20" s="15" t="n">
        <v>5842</v>
      </c>
      <c r="K20" s="15" t="n">
        <v>8635346</v>
      </c>
      <c r="L20" s="15" t="n">
        <v>10807316</v>
      </c>
      <c r="M20" s="15" t="n">
        <v>0.5098</v>
      </c>
      <c r="N20" s="15" t="s">
        <v>112</v>
      </c>
      <c r="O20" s="15" t="s">
        <v>116</v>
      </c>
    </row>
    <row r="21" customFormat="false" ht="15" hidden="false" customHeight="false" outlineLevel="0" collapsed="false">
      <c r="A21" s="15" t="s">
        <v>42</v>
      </c>
      <c r="B21" s="15" t="n">
        <v>16</v>
      </c>
      <c r="C21" s="15" t="n">
        <v>5</v>
      </c>
      <c r="D21" s="15" t="n">
        <v>1000</v>
      </c>
      <c r="E21" s="15" t="n">
        <v>4273108</v>
      </c>
      <c r="F21" s="15" t="n">
        <v>16000</v>
      </c>
      <c r="G21" s="15" t="n">
        <v>16000</v>
      </c>
      <c r="H21" s="15" t="n">
        <v>15</v>
      </c>
      <c r="I21" s="15" t="n">
        <v>1129.5</v>
      </c>
      <c r="J21" s="15" t="n">
        <v>8765</v>
      </c>
      <c r="K21" s="15" t="n">
        <v>96154</v>
      </c>
      <c r="L21" s="15" t="n">
        <v>3639460</v>
      </c>
      <c r="M21" s="15" t="n">
        <v>0.5954</v>
      </c>
      <c r="N21" s="15" t="s">
        <v>112</v>
      </c>
      <c r="O21" s="15" t="s">
        <v>117</v>
      </c>
    </row>
    <row r="22" customFormat="false" ht="15" hidden="false" customHeight="false" outlineLevel="0" collapsed="false">
      <c r="A22" s="15" t="s">
        <v>43</v>
      </c>
      <c r="B22" s="15" t="n">
        <v>2</v>
      </c>
      <c r="C22" s="15" t="n">
        <v>1</v>
      </c>
      <c r="D22" s="15" t="n">
        <v>1000</v>
      </c>
      <c r="E22" s="15" t="n">
        <v>4459578</v>
      </c>
      <c r="F22" s="15" t="n">
        <v>2000</v>
      </c>
      <c r="G22" s="15" t="n">
        <v>2000</v>
      </c>
      <c r="H22" s="15" t="n">
        <v>0</v>
      </c>
      <c r="I22" s="15" t="n">
        <v>2246.6</v>
      </c>
      <c r="J22" s="15" t="n">
        <v>21282</v>
      </c>
      <c r="K22" s="15" t="n">
        <v>231628</v>
      </c>
      <c r="L22" s="15" t="n">
        <v>62815</v>
      </c>
      <c r="M22" s="15" t="n">
        <v>0.999</v>
      </c>
      <c r="N22" s="15" t="s">
        <v>94</v>
      </c>
      <c r="O22" s="15" t="s">
        <v>118</v>
      </c>
    </row>
    <row r="23" customFormat="false" ht="15" hidden="false" customHeight="false" outlineLevel="0" collapsed="false">
      <c r="A23" s="15" t="s">
        <v>43</v>
      </c>
      <c r="B23" s="15" t="n">
        <v>2</v>
      </c>
      <c r="C23" s="15" t="n">
        <v>2</v>
      </c>
      <c r="D23" s="15" t="n">
        <v>1000</v>
      </c>
      <c r="E23" s="15" t="n">
        <v>5580651</v>
      </c>
      <c r="F23" s="15" t="n">
        <v>2000</v>
      </c>
      <c r="G23" s="15" t="n">
        <v>2000</v>
      </c>
      <c r="H23" s="15" t="n">
        <v>1</v>
      </c>
      <c r="I23" s="15" t="n">
        <v>3044.1</v>
      </c>
      <c r="J23" s="15" t="n">
        <v>26953</v>
      </c>
      <c r="K23" s="15" t="n">
        <v>2245270</v>
      </c>
      <c r="L23" s="15" t="n">
        <v>36877</v>
      </c>
      <c r="M23" s="15" t="n">
        <v>0.9979</v>
      </c>
      <c r="N23" s="15" t="s">
        <v>94</v>
      </c>
      <c r="O23" s="15" t="s">
        <v>119</v>
      </c>
    </row>
    <row r="24" customFormat="false" ht="15" hidden="false" customHeight="false" outlineLevel="0" collapsed="false">
      <c r="A24" s="15" t="s">
        <v>43</v>
      </c>
      <c r="B24" s="15" t="n">
        <v>2</v>
      </c>
      <c r="C24" s="15" t="n">
        <v>3</v>
      </c>
      <c r="D24" s="15" t="n">
        <v>1000</v>
      </c>
      <c r="E24" s="15" t="n">
        <v>1389764</v>
      </c>
      <c r="F24" s="15" t="n">
        <v>2000</v>
      </c>
      <c r="G24" s="15" t="n">
        <v>2000</v>
      </c>
      <c r="H24" s="15" t="n">
        <v>1</v>
      </c>
      <c r="I24" s="15" t="n">
        <v>503.7</v>
      </c>
      <c r="J24" s="15" t="n">
        <v>823</v>
      </c>
      <c r="K24" s="15" t="n">
        <v>55832</v>
      </c>
      <c r="L24" s="15" t="n">
        <v>61482</v>
      </c>
      <c r="M24" s="15" t="n">
        <v>0.9893</v>
      </c>
      <c r="N24" s="15" t="s">
        <v>94</v>
      </c>
      <c r="O24" s="15" t="s">
        <v>120</v>
      </c>
    </row>
    <row r="25" customFormat="false" ht="15" hidden="false" customHeight="false" outlineLevel="0" collapsed="false">
      <c r="A25" s="15" t="s">
        <v>43</v>
      </c>
      <c r="B25" s="15" t="n">
        <v>2</v>
      </c>
      <c r="C25" s="15" t="n">
        <v>4</v>
      </c>
      <c r="D25" s="15" t="n">
        <v>1000</v>
      </c>
      <c r="E25" s="15" t="n">
        <v>832702</v>
      </c>
      <c r="F25" s="15" t="n">
        <v>2000</v>
      </c>
      <c r="G25" s="15" t="n">
        <v>2000</v>
      </c>
      <c r="H25" s="15" t="n">
        <v>1</v>
      </c>
      <c r="I25" s="15" t="n">
        <v>396.3</v>
      </c>
      <c r="J25" s="15" t="n">
        <v>538</v>
      </c>
      <c r="K25" s="15" t="n">
        <v>88099</v>
      </c>
      <c r="L25" s="15" t="n">
        <v>81319</v>
      </c>
      <c r="M25" s="15" t="n">
        <v>0.9977</v>
      </c>
      <c r="N25" s="15" t="s">
        <v>94</v>
      </c>
      <c r="O25" s="15" t="s">
        <v>121</v>
      </c>
    </row>
    <row r="26" customFormat="false" ht="15" hidden="false" customHeight="false" outlineLevel="0" collapsed="false">
      <c r="A26" s="15" t="s">
        <v>43</v>
      </c>
      <c r="B26" s="15" t="n">
        <v>2</v>
      </c>
      <c r="C26" s="15" t="n">
        <v>5</v>
      </c>
      <c r="D26" s="15" t="n">
        <v>1000</v>
      </c>
      <c r="E26" s="15" t="n">
        <v>1583987</v>
      </c>
      <c r="F26" s="15" t="n">
        <v>2000</v>
      </c>
      <c r="G26" s="15" t="n">
        <v>2000</v>
      </c>
      <c r="H26" s="15" t="n">
        <v>1</v>
      </c>
      <c r="I26" s="15" t="n">
        <v>645.5</v>
      </c>
      <c r="J26" s="15" t="n">
        <v>696</v>
      </c>
      <c r="K26" s="15" t="n">
        <v>527096</v>
      </c>
      <c r="L26" s="15" t="n">
        <v>178653</v>
      </c>
      <c r="M26" s="15" t="n">
        <v>0.957</v>
      </c>
      <c r="N26" s="15" t="s">
        <v>94</v>
      </c>
      <c r="O26" s="15" t="s">
        <v>122</v>
      </c>
    </row>
    <row r="27" customFormat="false" ht="15" hidden="false" customHeight="false" outlineLevel="0" collapsed="false">
      <c r="A27" s="15" t="s">
        <v>43</v>
      </c>
      <c r="B27" s="15" t="n">
        <v>4</v>
      </c>
      <c r="C27" s="15" t="n">
        <v>1</v>
      </c>
      <c r="D27" s="15" t="n">
        <v>1000</v>
      </c>
      <c r="E27" s="15" t="n">
        <v>2118464</v>
      </c>
      <c r="F27" s="15" t="n">
        <v>4000</v>
      </c>
      <c r="G27" s="15" t="n">
        <v>4000</v>
      </c>
      <c r="H27" s="15" t="n">
        <v>3</v>
      </c>
      <c r="I27" s="15" t="n">
        <v>1250.1</v>
      </c>
      <c r="J27" s="15" t="n">
        <v>1319</v>
      </c>
      <c r="K27" s="15" t="n">
        <v>584289</v>
      </c>
      <c r="L27" s="15" t="n">
        <v>877333</v>
      </c>
      <c r="M27" s="15" t="n">
        <v>0.9529</v>
      </c>
      <c r="N27" s="15" t="s">
        <v>100</v>
      </c>
      <c r="O27" s="15" t="s">
        <v>123</v>
      </c>
    </row>
    <row r="28" customFormat="false" ht="15" hidden="false" customHeight="false" outlineLevel="0" collapsed="false">
      <c r="A28" s="15" t="s">
        <v>43</v>
      </c>
      <c r="B28" s="15" t="n">
        <v>4</v>
      </c>
      <c r="C28" s="15" t="n">
        <v>2</v>
      </c>
      <c r="D28" s="15" t="n">
        <v>1000</v>
      </c>
      <c r="E28" s="15" t="n">
        <v>3522744</v>
      </c>
      <c r="F28" s="15" t="n">
        <v>4000</v>
      </c>
      <c r="G28" s="15" t="n">
        <v>4000</v>
      </c>
      <c r="H28" s="15" t="n">
        <v>3</v>
      </c>
      <c r="I28" s="15" t="n">
        <v>2230.8</v>
      </c>
      <c r="J28" s="15" t="n">
        <v>30109</v>
      </c>
      <c r="K28" s="15" t="n">
        <v>894886</v>
      </c>
      <c r="L28" s="15" t="n">
        <v>436910</v>
      </c>
      <c r="M28" s="15" t="n">
        <v>0.9385</v>
      </c>
      <c r="N28" s="15" t="s">
        <v>100</v>
      </c>
      <c r="O28" s="15" t="s">
        <v>124</v>
      </c>
    </row>
    <row r="29" customFormat="false" ht="15" hidden="false" customHeight="false" outlineLevel="0" collapsed="false">
      <c r="A29" s="15" t="s">
        <v>43</v>
      </c>
      <c r="B29" s="15" t="n">
        <v>4</v>
      </c>
      <c r="C29" s="15" t="n">
        <v>3</v>
      </c>
      <c r="D29" s="15" t="n">
        <v>1000</v>
      </c>
      <c r="E29" s="15" t="n">
        <v>1001370</v>
      </c>
      <c r="F29" s="15" t="n">
        <v>4000</v>
      </c>
      <c r="G29" s="15" t="n">
        <v>4000</v>
      </c>
      <c r="H29" s="15" t="n">
        <v>3</v>
      </c>
      <c r="I29" s="15" t="n">
        <v>169.6</v>
      </c>
      <c r="J29" s="15" t="n">
        <v>117</v>
      </c>
      <c r="K29" s="15" t="n">
        <v>89995</v>
      </c>
      <c r="L29" s="15" t="n">
        <v>630831</v>
      </c>
      <c r="M29" s="15" t="n">
        <v>0.5</v>
      </c>
      <c r="N29" s="15" t="s">
        <v>100</v>
      </c>
      <c r="O29" s="15" t="s">
        <v>104</v>
      </c>
    </row>
    <row r="30" customFormat="false" ht="15" hidden="false" customHeight="false" outlineLevel="0" collapsed="false">
      <c r="A30" s="15" t="s">
        <v>43</v>
      </c>
      <c r="B30" s="15" t="n">
        <v>4</v>
      </c>
      <c r="C30" s="15" t="n">
        <v>4</v>
      </c>
      <c r="D30" s="15" t="n">
        <v>1000</v>
      </c>
      <c r="E30" s="15" t="n">
        <v>2745224</v>
      </c>
      <c r="F30" s="15" t="n">
        <v>4000</v>
      </c>
      <c r="G30" s="15" t="n">
        <v>4000</v>
      </c>
      <c r="H30" s="15" t="n">
        <v>3</v>
      </c>
      <c r="I30" s="15" t="n">
        <v>1470.7</v>
      </c>
      <c r="J30" s="15" t="n">
        <v>1849</v>
      </c>
      <c r="K30" s="15" t="n">
        <v>915583</v>
      </c>
      <c r="L30" s="15" t="n">
        <v>619269</v>
      </c>
      <c r="M30" s="15" t="n">
        <v>0.662</v>
      </c>
      <c r="N30" s="15" t="s">
        <v>100</v>
      </c>
      <c r="O30" s="15" t="s">
        <v>125</v>
      </c>
    </row>
    <row r="31" customFormat="false" ht="15" hidden="false" customHeight="false" outlineLevel="0" collapsed="false">
      <c r="A31" s="15" t="s">
        <v>43</v>
      </c>
      <c r="B31" s="15" t="n">
        <v>4</v>
      </c>
      <c r="C31" s="15" t="n">
        <v>5</v>
      </c>
      <c r="D31" s="15" t="n">
        <v>1000</v>
      </c>
      <c r="E31" s="15" t="n">
        <v>1284346</v>
      </c>
      <c r="F31" s="15" t="n">
        <v>4000</v>
      </c>
      <c r="G31" s="15" t="n">
        <v>4000</v>
      </c>
      <c r="H31" s="15" t="n">
        <v>3</v>
      </c>
      <c r="I31" s="15" t="n">
        <v>774.4</v>
      </c>
      <c r="J31" s="15" t="n">
        <v>1075</v>
      </c>
      <c r="K31" s="15" t="n">
        <v>38164</v>
      </c>
      <c r="L31" s="15" t="n">
        <v>381759</v>
      </c>
      <c r="M31" s="15" t="n">
        <v>0.9024</v>
      </c>
      <c r="N31" s="15" t="s">
        <v>100</v>
      </c>
      <c r="O31" s="15" t="s">
        <v>126</v>
      </c>
    </row>
    <row r="32" customFormat="false" ht="15" hidden="false" customHeight="false" outlineLevel="0" collapsed="false">
      <c r="A32" s="15" t="s">
        <v>43</v>
      </c>
      <c r="B32" s="15" t="n">
        <v>8</v>
      </c>
      <c r="C32" s="15" t="n">
        <v>1</v>
      </c>
      <c r="D32" s="15" t="n">
        <v>1000</v>
      </c>
      <c r="E32" s="15" t="n">
        <v>2599822</v>
      </c>
      <c r="F32" s="15" t="n">
        <v>8000</v>
      </c>
      <c r="G32" s="15" t="n">
        <v>8000</v>
      </c>
      <c r="H32" s="15" t="n">
        <v>5</v>
      </c>
      <c r="I32" s="15" t="n">
        <v>1065.1</v>
      </c>
      <c r="J32" s="15" t="n">
        <v>4244</v>
      </c>
      <c r="K32" s="15" t="n">
        <v>349817</v>
      </c>
      <c r="L32" s="15" t="n">
        <v>922277</v>
      </c>
      <c r="M32" s="15" t="n">
        <v>0.6306</v>
      </c>
      <c r="N32" s="15" t="s">
        <v>106</v>
      </c>
      <c r="O32" s="15" t="s">
        <v>127</v>
      </c>
    </row>
    <row r="33" customFormat="false" ht="15" hidden="false" customHeight="false" outlineLevel="0" collapsed="false">
      <c r="A33" s="15" t="s">
        <v>43</v>
      </c>
      <c r="B33" s="15" t="n">
        <v>8</v>
      </c>
      <c r="C33" s="15" t="n">
        <v>2</v>
      </c>
      <c r="D33" s="15" t="n">
        <v>1000</v>
      </c>
      <c r="E33" s="15" t="n">
        <v>1686354</v>
      </c>
      <c r="F33" s="15" t="n">
        <v>8000</v>
      </c>
      <c r="G33" s="15" t="n">
        <v>8000</v>
      </c>
      <c r="H33" s="15" t="n">
        <v>4</v>
      </c>
      <c r="I33" s="15" t="n">
        <v>617.1</v>
      </c>
      <c r="J33" s="15" t="n">
        <v>1016</v>
      </c>
      <c r="K33" s="15" t="n">
        <v>160921</v>
      </c>
      <c r="L33" s="15" t="n">
        <v>1280847</v>
      </c>
      <c r="M33" s="15" t="n">
        <v>0.6298</v>
      </c>
      <c r="N33" s="15" t="s">
        <v>106</v>
      </c>
      <c r="O33" s="15" t="s">
        <v>128</v>
      </c>
    </row>
    <row r="34" customFormat="false" ht="15" hidden="false" customHeight="false" outlineLevel="0" collapsed="false">
      <c r="A34" s="15" t="s">
        <v>43</v>
      </c>
      <c r="B34" s="15" t="n">
        <v>8</v>
      </c>
      <c r="C34" s="15" t="n">
        <v>3</v>
      </c>
      <c r="D34" s="15" t="n">
        <v>1000</v>
      </c>
      <c r="E34" s="15" t="n">
        <v>9974659</v>
      </c>
      <c r="F34" s="15" t="n">
        <v>8000</v>
      </c>
      <c r="G34" s="15" t="n">
        <v>8000</v>
      </c>
      <c r="H34" s="15" t="n">
        <v>7</v>
      </c>
      <c r="I34" s="15" t="n">
        <v>7179.7</v>
      </c>
      <c r="J34" s="15" t="n">
        <v>24238</v>
      </c>
      <c r="K34" s="15" t="n">
        <v>6263229</v>
      </c>
      <c r="L34" s="15" t="n">
        <v>9191687</v>
      </c>
      <c r="M34" s="15" t="n">
        <v>0.6103</v>
      </c>
      <c r="N34" s="15" t="s">
        <v>106</v>
      </c>
      <c r="O34" s="15" t="s">
        <v>129</v>
      </c>
    </row>
    <row r="35" customFormat="false" ht="15" hidden="false" customHeight="false" outlineLevel="0" collapsed="false">
      <c r="A35" s="15" t="s">
        <v>43</v>
      </c>
      <c r="B35" s="15" t="n">
        <v>8</v>
      </c>
      <c r="C35" s="15" t="n">
        <v>4</v>
      </c>
      <c r="D35" s="15" t="n">
        <v>1000</v>
      </c>
      <c r="E35" s="15" t="n">
        <v>37140829</v>
      </c>
      <c r="F35" s="15" t="n">
        <v>8000</v>
      </c>
      <c r="G35" s="15" t="n">
        <v>8000</v>
      </c>
      <c r="H35" s="15" t="n">
        <v>7</v>
      </c>
      <c r="I35" s="15" t="n">
        <v>31891.9</v>
      </c>
      <c r="J35" s="15" t="n">
        <v>147984</v>
      </c>
      <c r="K35" s="15" t="n">
        <v>7171508</v>
      </c>
      <c r="L35" s="15" t="n">
        <v>32921104</v>
      </c>
      <c r="M35" s="15" t="n">
        <v>0.8</v>
      </c>
      <c r="N35" s="15" t="s">
        <v>106</v>
      </c>
      <c r="O35" s="15" t="s">
        <v>130</v>
      </c>
    </row>
    <row r="36" customFormat="false" ht="15" hidden="false" customHeight="false" outlineLevel="0" collapsed="false">
      <c r="A36" s="15" t="s">
        <v>43</v>
      </c>
      <c r="B36" s="15" t="n">
        <v>8</v>
      </c>
      <c r="C36" s="15" t="n">
        <v>5</v>
      </c>
      <c r="D36" s="15" t="n">
        <v>1000</v>
      </c>
      <c r="E36" s="15" t="n">
        <v>2059449</v>
      </c>
      <c r="F36" s="15" t="n">
        <v>8000</v>
      </c>
      <c r="G36" s="15" t="n">
        <v>8000</v>
      </c>
      <c r="H36" s="15" t="n">
        <v>5</v>
      </c>
      <c r="I36" s="15" t="n">
        <v>1198.2</v>
      </c>
      <c r="J36" s="15" t="n">
        <v>21031</v>
      </c>
      <c r="K36" s="15" t="n">
        <v>143067</v>
      </c>
      <c r="L36" s="15" t="n">
        <v>1723634</v>
      </c>
      <c r="M36" s="15" t="n">
        <v>0.7974</v>
      </c>
      <c r="N36" s="15" t="s">
        <v>106</v>
      </c>
      <c r="O36" s="15" t="s">
        <v>131</v>
      </c>
    </row>
    <row r="37" customFormat="false" ht="15" hidden="false" customHeight="false" outlineLevel="0" collapsed="false">
      <c r="A37" s="15" t="s">
        <v>43</v>
      </c>
      <c r="B37" s="15" t="n">
        <v>16</v>
      </c>
      <c r="C37" s="15" t="n">
        <v>1</v>
      </c>
      <c r="D37" s="15" t="n">
        <v>1000</v>
      </c>
      <c r="E37" s="15" t="n">
        <v>10480666009</v>
      </c>
      <c r="F37" s="15" t="n">
        <v>16000</v>
      </c>
      <c r="G37" s="15" t="n">
        <v>16000</v>
      </c>
      <c r="H37" s="15" t="n">
        <v>15</v>
      </c>
      <c r="I37" s="15" t="n">
        <v>7034102</v>
      </c>
      <c r="J37" s="15" t="n">
        <v>32088191</v>
      </c>
      <c r="K37" s="15" t="n">
        <v>68138656</v>
      </c>
      <c r="L37" s="15" t="n">
        <v>10480496260</v>
      </c>
      <c r="M37" s="15" t="n">
        <v>0.643</v>
      </c>
      <c r="N37" s="15" t="s">
        <v>112</v>
      </c>
      <c r="O37" s="15" t="s">
        <v>132</v>
      </c>
    </row>
    <row r="38" customFormat="false" ht="15" hidden="false" customHeight="false" outlineLevel="0" collapsed="false">
      <c r="A38" s="15" t="s">
        <v>43</v>
      </c>
      <c r="B38" s="15" t="n">
        <v>16</v>
      </c>
      <c r="C38" s="15" t="n">
        <v>2</v>
      </c>
      <c r="D38" s="15" t="n">
        <v>1000</v>
      </c>
      <c r="E38" s="15" t="n">
        <v>27397867895</v>
      </c>
      <c r="F38" s="15" t="n">
        <v>16000</v>
      </c>
      <c r="G38" s="15" t="n">
        <v>16000</v>
      </c>
      <c r="H38" s="15" t="n">
        <v>13</v>
      </c>
      <c r="I38" s="15" t="n">
        <v>24199786.5</v>
      </c>
      <c r="J38" s="15" t="n">
        <v>84971831</v>
      </c>
      <c r="K38" s="15" t="n">
        <v>224736621</v>
      </c>
      <c r="L38" s="15" t="n">
        <v>27397500351</v>
      </c>
      <c r="M38" s="15" t="n">
        <v>0.8572</v>
      </c>
      <c r="N38" s="15" t="s">
        <v>112</v>
      </c>
      <c r="O38" s="15" t="s">
        <v>133</v>
      </c>
    </row>
    <row r="39" customFormat="false" ht="15" hidden="false" customHeight="false" outlineLevel="0" collapsed="false">
      <c r="A39" s="15" t="s">
        <v>43</v>
      </c>
      <c r="B39" s="15" t="n">
        <v>16</v>
      </c>
      <c r="C39" s="15" t="n">
        <v>3</v>
      </c>
      <c r="D39" s="15" t="n">
        <v>1000</v>
      </c>
      <c r="E39" s="15" t="n">
        <v>4466352</v>
      </c>
      <c r="F39" s="15" t="n">
        <v>16000</v>
      </c>
      <c r="G39" s="15" t="n">
        <v>16000</v>
      </c>
      <c r="H39" s="15" t="n">
        <v>14</v>
      </c>
      <c r="I39" s="15" t="n">
        <v>1474.5</v>
      </c>
      <c r="J39" s="15" t="n">
        <v>2011</v>
      </c>
      <c r="K39" s="15" t="n">
        <v>956266</v>
      </c>
      <c r="L39" s="15" t="n">
        <v>3704760</v>
      </c>
      <c r="M39" s="15" t="n">
        <v>0.5</v>
      </c>
      <c r="N39" s="15" t="s">
        <v>112</v>
      </c>
      <c r="O39" s="15" t="s">
        <v>134</v>
      </c>
    </row>
    <row r="40" customFormat="false" ht="15" hidden="false" customHeight="false" outlineLevel="0" collapsed="false">
      <c r="A40" s="15" t="s">
        <v>43</v>
      </c>
      <c r="B40" s="15" t="n">
        <v>16</v>
      </c>
      <c r="C40" s="15" t="n">
        <v>4</v>
      </c>
      <c r="D40" s="15" t="n">
        <v>1000</v>
      </c>
      <c r="E40" s="15" t="n">
        <v>14441404844</v>
      </c>
      <c r="F40" s="15" t="n">
        <v>16000</v>
      </c>
      <c r="G40" s="15" t="n">
        <v>16000</v>
      </c>
      <c r="H40" s="15" t="n">
        <v>15</v>
      </c>
      <c r="I40" s="15" t="n">
        <v>9029402.4</v>
      </c>
      <c r="J40" s="15" t="n">
        <v>75842780</v>
      </c>
      <c r="K40" s="15" t="n">
        <v>302784084</v>
      </c>
      <c r="L40" s="15" t="n">
        <v>14441184230</v>
      </c>
      <c r="M40" s="15" t="n">
        <v>0.6169</v>
      </c>
      <c r="N40" s="15" t="s">
        <v>112</v>
      </c>
      <c r="O40" s="15" t="s">
        <v>135</v>
      </c>
    </row>
    <row r="41" customFormat="false" ht="15" hidden="false" customHeight="false" outlineLevel="0" collapsed="false">
      <c r="A41" s="15" t="s">
        <v>43</v>
      </c>
      <c r="B41" s="15" t="n">
        <v>16</v>
      </c>
      <c r="C41" s="15" t="n">
        <v>5</v>
      </c>
      <c r="D41" s="15" t="n">
        <v>1000</v>
      </c>
      <c r="E41" s="15" t="n">
        <v>46881433</v>
      </c>
      <c r="F41" s="15" t="n">
        <v>16000</v>
      </c>
      <c r="G41" s="15" t="n">
        <v>16000</v>
      </c>
      <c r="H41" s="15" t="n">
        <v>2</v>
      </c>
      <c r="I41" s="15" t="n">
        <v>15420.5</v>
      </c>
      <c r="J41" s="15" t="n">
        <v>1400</v>
      </c>
      <c r="K41" s="15" t="n">
        <v>23159477</v>
      </c>
      <c r="L41" s="15" t="n">
        <v>46632222</v>
      </c>
      <c r="M41" s="15" t="n">
        <v>0.5</v>
      </c>
      <c r="N41" s="15" t="s">
        <v>112</v>
      </c>
      <c r="O41" s="15" t="s">
        <v>136</v>
      </c>
    </row>
    <row r="42" customFormat="false" ht="15" hidden="false" customHeight="false" outlineLevel="0" collapsed="false">
      <c r="A42" s="15" t="s">
        <v>44</v>
      </c>
      <c r="B42" s="15" t="n">
        <v>2</v>
      </c>
      <c r="C42" s="15" t="n">
        <v>1</v>
      </c>
      <c r="D42" s="15" t="n">
        <v>1000</v>
      </c>
      <c r="E42" s="15" t="n">
        <v>4873850</v>
      </c>
      <c r="F42" s="15" t="n">
        <v>2000</v>
      </c>
      <c r="G42" s="15" t="n">
        <v>2000</v>
      </c>
      <c r="H42" s="15" t="n">
        <v>0</v>
      </c>
      <c r="I42" s="15" t="n">
        <v>3098.4</v>
      </c>
      <c r="J42" s="15" t="n">
        <v>36705</v>
      </c>
      <c r="K42" s="15" t="n">
        <v>1312280</v>
      </c>
      <c r="L42" s="15" t="n">
        <v>289643</v>
      </c>
      <c r="M42" s="15" t="n">
        <v>0.9997</v>
      </c>
      <c r="N42" s="15" t="s">
        <v>94</v>
      </c>
      <c r="O42" s="15" t="s">
        <v>137</v>
      </c>
    </row>
    <row r="43" customFormat="false" ht="15" hidden="false" customHeight="false" outlineLevel="0" collapsed="false">
      <c r="A43" s="15" t="s">
        <v>44</v>
      </c>
      <c r="B43" s="15" t="n">
        <v>2</v>
      </c>
      <c r="C43" s="15" t="n">
        <v>2</v>
      </c>
      <c r="D43" s="15" t="n">
        <v>1000</v>
      </c>
      <c r="E43" s="15" t="n">
        <v>1662790</v>
      </c>
      <c r="F43" s="15" t="n">
        <v>2000</v>
      </c>
      <c r="G43" s="15" t="n">
        <v>2000</v>
      </c>
      <c r="H43" s="15" t="n">
        <v>1</v>
      </c>
      <c r="I43" s="15" t="n">
        <v>966</v>
      </c>
      <c r="J43" s="15" t="n">
        <v>11276</v>
      </c>
      <c r="K43" s="15" t="n">
        <v>242749</v>
      </c>
      <c r="L43" s="15" t="n">
        <v>5687</v>
      </c>
      <c r="M43" s="15" t="n">
        <v>0.9999</v>
      </c>
      <c r="N43" s="15" t="s">
        <v>94</v>
      </c>
      <c r="O43" s="15" t="s">
        <v>138</v>
      </c>
    </row>
    <row r="44" customFormat="false" ht="15" hidden="false" customHeight="false" outlineLevel="0" collapsed="false">
      <c r="A44" s="15" t="s">
        <v>44</v>
      </c>
      <c r="B44" s="15" t="n">
        <v>2</v>
      </c>
      <c r="C44" s="15" t="n">
        <v>3</v>
      </c>
      <c r="D44" s="15" t="n">
        <v>1000</v>
      </c>
      <c r="E44" s="15" t="n">
        <v>1371110</v>
      </c>
      <c r="F44" s="15" t="n">
        <v>2000</v>
      </c>
      <c r="G44" s="15" t="n">
        <v>2000</v>
      </c>
      <c r="H44" s="15" t="n">
        <v>1</v>
      </c>
      <c r="I44" s="15" t="n">
        <v>517.3</v>
      </c>
      <c r="J44" s="15" t="n">
        <v>774</v>
      </c>
      <c r="K44" s="15" t="n">
        <v>28570</v>
      </c>
      <c r="L44" s="15" t="n">
        <v>110606</v>
      </c>
      <c r="M44" s="15" t="n">
        <v>0.9719</v>
      </c>
      <c r="N44" s="15" t="s">
        <v>94</v>
      </c>
      <c r="O44" s="15" t="s">
        <v>139</v>
      </c>
    </row>
    <row r="45" customFormat="false" ht="15" hidden="false" customHeight="false" outlineLevel="0" collapsed="false">
      <c r="A45" s="15" t="s">
        <v>44</v>
      </c>
      <c r="B45" s="15" t="n">
        <v>2</v>
      </c>
      <c r="C45" s="15" t="n">
        <v>4</v>
      </c>
      <c r="D45" s="15" t="n">
        <v>1000</v>
      </c>
      <c r="E45" s="15" t="n">
        <v>520826</v>
      </c>
      <c r="F45" s="15" t="n">
        <v>2000</v>
      </c>
      <c r="G45" s="15" t="n">
        <v>2000</v>
      </c>
      <c r="H45" s="15" t="n">
        <v>0</v>
      </c>
      <c r="I45" s="15" t="n">
        <v>205.9</v>
      </c>
      <c r="J45" s="15" t="n">
        <v>331</v>
      </c>
      <c r="K45" s="15" t="n">
        <v>29848</v>
      </c>
      <c r="L45" s="15" t="n">
        <v>24521</v>
      </c>
      <c r="M45" s="15" t="n">
        <v>0.9916</v>
      </c>
      <c r="N45" s="15" t="s">
        <v>94</v>
      </c>
      <c r="O45" s="15" t="s">
        <v>140</v>
      </c>
    </row>
    <row r="46" customFormat="false" ht="15" hidden="false" customHeight="false" outlineLevel="0" collapsed="false">
      <c r="A46" s="15" t="s">
        <v>44</v>
      </c>
      <c r="B46" s="15" t="n">
        <v>2</v>
      </c>
      <c r="C46" s="15" t="n">
        <v>5</v>
      </c>
      <c r="D46" s="15" t="n">
        <v>1000</v>
      </c>
      <c r="E46" s="15" t="n">
        <v>2239342</v>
      </c>
      <c r="F46" s="15" t="n">
        <v>2000</v>
      </c>
      <c r="G46" s="15" t="n">
        <v>2000</v>
      </c>
      <c r="H46" s="15" t="n">
        <v>0</v>
      </c>
      <c r="I46" s="15" t="n">
        <v>364.4</v>
      </c>
      <c r="J46" s="15" t="n">
        <v>832</v>
      </c>
      <c r="K46" s="15" t="n">
        <v>76807</v>
      </c>
      <c r="L46" s="15" t="n">
        <v>1421286</v>
      </c>
      <c r="M46" s="15" t="n">
        <v>0.9403</v>
      </c>
      <c r="N46" s="15" t="s">
        <v>94</v>
      </c>
      <c r="O46" s="15" t="s">
        <v>141</v>
      </c>
    </row>
    <row r="47" customFormat="false" ht="15" hidden="false" customHeight="false" outlineLevel="0" collapsed="false">
      <c r="A47" s="15" t="s">
        <v>44</v>
      </c>
      <c r="B47" s="15" t="n">
        <v>4</v>
      </c>
      <c r="C47" s="15" t="n">
        <v>1</v>
      </c>
      <c r="D47" s="15" t="n">
        <v>1000</v>
      </c>
      <c r="E47" s="15" t="n">
        <v>1741775</v>
      </c>
      <c r="F47" s="15" t="n">
        <v>4000</v>
      </c>
      <c r="G47" s="15" t="n">
        <v>4000</v>
      </c>
      <c r="H47" s="15" t="n">
        <v>3</v>
      </c>
      <c r="I47" s="15" t="n">
        <v>469.8</v>
      </c>
      <c r="J47" s="15" t="n">
        <v>1000</v>
      </c>
      <c r="K47" s="15" t="n">
        <v>47155</v>
      </c>
      <c r="L47" s="15" t="n">
        <v>886158</v>
      </c>
      <c r="M47" s="15" t="n">
        <v>0.6065</v>
      </c>
      <c r="N47" s="15" t="s">
        <v>100</v>
      </c>
      <c r="O47" s="15" t="s">
        <v>142</v>
      </c>
    </row>
    <row r="48" customFormat="false" ht="15" hidden="false" customHeight="false" outlineLevel="0" collapsed="false">
      <c r="A48" s="15" t="s">
        <v>44</v>
      </c>
      <c r="B48" s="15" t="n">
        <v>4</v>
      </c>
      <c r="C48" s="15" t="n">
        <v>2</v>
      </c>
      <c r="D48" s="15" t="n">
        <v>1000</v>
      </c>
      <c r="E48" s="15" t="n">
        <v>1637176</v>
      </c>
      <c r="F48" s="15" t="n">
        <v>4000</v>
      </c>
      <c r="G48" s="15" t="n">
        <v>4000</v>
      </c>
      <c r="H48" s="15" t="n">
        <v>3</v>
      </c>
      <c r="I48" s="15" t="n">
        <v>275.9</v>
      </c>
      <c r="J48" s="15" t="n">
        <v>626</v>
      </c>
      <c r="K48" s="15" t="n">
        <v>191864</v>
      </c>
      <c r="L48" s="15" t="n">
        <v>1141002</v>
      </c>
      <c r="M48" s="15" t="n">
        <v>0.618</v>
      </c>
      <c r="N48" s="15" t="s">
        <v>100</v>
      </c>
      <c r="O48" s="15" t="s">
        <v>143</v>
      </c>
    </row>
    <row r="49" customFormat="false" ht="15" hidden="false" customHeight="false" outlineLevel="0" collapsed="false">
      <c r="A49" s="15" t="s">
        <v>44</v>
      </c>
      <c r="B49" s="15" t="n">
        <v>4</v>
      </c>
      <c r="C49" s="15" t="n">
        <v>3</v>
      </c>
      <c r="D49" s="15" t="n">
        <v>1000</v>
      </c>
      <c r="E49" s="15" t="n">
        <v>1066302</v>
      </c>
      <c r="F49" s="15" t="n">
        <v>4000</v>
      </c>
      <c r="G49" s="15" t="n">
        <v>4000</v>
      </c>
      <c r="H49" s="15" t="n">
        <v>3</v>
      </c>
      <c r="I49" s="15" t="n">
        <v>753.7</v>
      </c>
      <c r="J49" s="15" t="n">
        <v>894</v>
      </c>
      <c r="K49" s="15" t="n">
        <v>140675</v>
      </c>
      <c r="L49" s="15" t="n">
        <v>9645</v>
      </c>
      <c r="M49" s="15" t="n">
        <v>0.9964</v>
      </c>
      <c r="N49" s="15" t="s">
        <v>100</v>
      </c>
      <c r="O49" s="15" t="s">
        <v>144</v>
      </c>
    </row>
    <row r="50" customFormat="false" ht="15" hidden="false" customHeight="false" outlineLevel="0" collapsed="false">
      <c r="A50" s="15" t="s">
        <v>44</v>
      </c>
      <c r="B50" s="15" t="n">
        <v>4</v>
      </c>
      <c r="C50" s="15" t="n">
        <v>4</v>
      </c>
      <c r="D50" s="15" t="n">
        <v>1000</v>
      </c>
      <c r="E50" s="15" t="n">
        <v>918642</v>
      </c>
      <c r="F50" s="15" t="n">
        <v>4000</v>
      </c>
      <c r="G50" s="15" t="n">
        <v>4000</v>
      </c>
      <c r="H50" s="15" t="n">
        <v>3</v>
      </c>
      <c r="I50" s="15" t="n">
        <v>469.7</v>
      </c>
      <c r="J50" s="15" t="n">
        <v>801</v>
      </c>
      <c r="K50" s="15" t="n">
        <v>28730</v>
      </c>
      <c r="L50" s="15" t="n">
        <v>333959</v>
      </c>
      <c r="M50" s="15" t="n">
        <v>0.8107</v>
      </c>
      <c r="N50" s="15" t="s">
        <v>100</v>
      </c>
      <c r="O50" s="15" t="s">
        <v>145</v>
      </c>
    </row>
    <row r="51" customFormat="false" ht="15" hidden="false" customHeight="false" outlineLevel="0" collapsed="false">
      <c r="A51" s="15" t="s">
        <v>44</v>
      </c>
      <c r="B51" s="15" t="n">
        <v>4</v>
      </c>
      <c r="C51" s="15" t="n">
        <v>5</v>
      </c>
      <c r="D51" s="15" t="n">
        <v>1000</v>
      </c>
      <c r="E51" s="15" t="n">
        <v>876467</v>
      </c>
      <c r="F51" s="15" t="n">
        <v>4000</v>
      </c>
      <c r="G51" s="15" t="n">
        <v>4000</v>
      </c>
      <c r="H51" s="15" t="n">
        <v>3</v>
      </c>
      <c r="I51" s="15" t="n">
        <v>448.8</v>
      </c>
      <c r="J51" s="15" t="n">
        <v>665</v>
      </c>
      <c r="K51" s="15" t="n">
        <v>45026</v>
      </c>
      <c r="L51" s="15" t="n">
        <v>642416</v>
      </c>
      <c r="M51" s="15" t="n">
        <v>0.7475</v>
      </c>
      <c r="N51" s="15" t="s">
        <v>100</v>
      </c>
      <c r="O51" s="15" t="s">
        <v>146</v>
      </c>
    </row>
    <row r="52" customFormat="false" ht="15" hidden="false" customHeight="false" outlineLevel="0" collapsed="false">
      <c r="A52" s="15" t="s">
        <v>44</v>
      </c>
      <c r="B52" s="15" t="n">
        <v>8</v>
      </c>
      <c r="C52" s="15" t="n">
        <v>1</v>
      </c>
      <c r="D52" s="15" t="n">
        <v>1000</v>
      </c>
      <c r="E52" s="15" t="n">
        <v>1452730</v>
      </c>
      <c r="F52" s="15" t="n">
        <v>8000</v>
      </c>
      <c r="G52" s="15" t="n">
        <v>8000</v>
      </c>
      <c r="H52" s="15" t="n">
        <v>7</v>
      </c>
      <c r="I52" s="15" t="n">
        <v>869</v>
      </c>
      <c r="J52" s="15" t="n">
        <v>1092</v>
      </c>
      <c r="K52" s="15" t="n">
        <v>64164</v>
      </c>
      <c r="L52" s="15" t="n">
        <v>773577</v>
      </c>
      <c r="M52" s="15" t="n">
        <v>0.8286</v>
      </c>
      <c r="N52" s="15" t="s">
        <v>106</v>
      </c>
      <c r="O52" s="15" t="s">
        <v>147</v>
      </c>
    </row>
    <row r="53" customFormat="false" ht="15" hidden="false" customHeight="false" outlineLevel="0" collapsed="false">
      <c r="A53" s="15" t="s">
        <v>44</v>
      </c>
      <c r="B53" s="15" t="n">
        <v>8</v>
      </c>
      <c r="C53" s="15" t="n">
        <v>2</v>
      </c>
      <c r="D53" s="15" t="n">
        <v>1000</v>
      </c>
      <c r="E53" s="15" t="n">
        <v>1146971</v>
      </c>
      <c r="F53" s="15" t="n">
        <v>8000</v>
      </c>
      <c r="G53" s="15" t="n">
        <v>8000</v>
      </c>
      <c r="H53" s="15" t="n">
        <v>7</v>
      </c>
      <c r="I53" s="15" t="n">
        <v>608.4</v>
      </c>
      <c r="J53" s="15" t="n">
        <v>897</v>
      </c>
      <c r="K53" s="15" t="n">
        <v>72823</v>
      </c>
      <c r="L53" s="15" t="n">
        <v>895310</v>
      </c>
      <c r="M53" s="15" t="n">
        <v>0.816</v>
      </c>
      <c r="N53" s="15" t="s">
        <v>106</v>
      </c>
      <c r="O53" s="15" t="s">
        <v>148</v>
      </c>
    </row>
    <row r="54" customFormat="false" ht="15" hidden="false" customHeight="false" outlineLevel="0" collapsed="false">
      <c r="A54" s="15" t="s">
        <v>44</v>
      </c>
      <c r="B54" s="15" t="n">
        <v>8</v>
      </c>
      <c r="C54" s="15" t="n">
        <v>3</v>
      </c>
      <c r="D54" s="15" t="n">
        <v>1000</v>
      </c>
      <c r="E54" s="15" t="n">
        <v>3834911</v>
      </c>
      <c r="F54" s="15" t="n">
        <v>8000</v>
      </c>
      <c r="G54" s="15" t="n">
        <v>8000</v>
      </c>
      <c r="H54" s="15" t="n">
        <v>7</v>
      </c>
      <c r="I54" s="15" t="n">
        <v>424</v>
      </c>
      <c r="J54" s="15" t="n">
        <v>913</v>
      </c>
      <c r="K54" s="15" t="n">
        <v>478094</v>
      </c>
      <c r="L54" s="15" t="n">
        <v>3641385</v>
      </c>
      <c r="M54" s="15" t="n">
        <v>0.5342</v>
      </c>
      <c r="N54" s="15" t="s">
        <v>106</v>
      </c>
      <c r="O54" s="15" t="s">
        <v>149</v>
      </c>
    </row>
    <row r="55" customFormat="false" ht="15" hidden="false" customHeight="false" outlineLevel="0" collapsed="false">
      <c r="A55" s="15" t="s">
        <v>44</v>
      </c>
      <c r="B55" s="15" t="n">
        <v>8</v>
      </c>
      <c r="C55" s="15" t="n">
        <v>4</v>
      </c>
      <c r="D55" s="15" t="n">
        <v>1000</v>
      </c>
      <c r="E55" s="15" t="n">
        <v>1630199</v>
      </c>
      <c r="F55" s="15" t="n">
        <v>8000</v>
      </c>
      <c r="G55" s="15" t="n">
        <v>8000</v>
      </c>
      <c r="H55" s="15" t="n">
        <v>6</v>
      </c>
      <c r="I55" s="15" t="n">
        <v>968.2</v>
      </c>
      <c r="J55" s="15" t="n">
        <v>1292</v>
      </c>
      <c r="K55" s="15" t="n">
        <v>34679</v>
      </c>
      <c r="L55" s="15" t="n">
        <v>924891</v>
      </c>
      <c r="M55" s="15" t="n">
        <v>0.7627</v>
      </c>
      <c r="N55" s="15" t="s">
        <v>106</v>
      </c>
      <c r="O55" s="15" t="s">
        <v>150</v>
      </c>
    </row>
    <row r="56" customFormat="false" ht="15" hidden="false" customHeight="false" outlineLevel="0" collapsed="false">
      <c r="A56" s="15" t="s">
        <v>44</v>
      </c>
      <c r="B56" s="15" t="n">
        <v>8</v>
      </c>
      <c r="C56" s="15" t="n">
        <v>5</v>
      </c>
      <c r="D56" s="15" t="n">
        <v>1000</v>
      </c>
      <c r="E56" s="15" t="n">
        <v>1141748784</v>
      </c>
      <c r="F56" s="15" t="n">
        <v>8000</v>
      </c>
      <c r="G56" s="15" t="n">
        <v>8000</v>
      </c>
      <c r="H56" s="15" t="n">
        <v>6</v>
      </c>
      <c r="I56" s="15" t="n">
        <v>1139980</v>
      </c>
      <c r="J56" s="15" t="n">
        <v>15009430</v>
      </c>
      <c r="K56" s="15" t="n">
        <v>45040571</v>
      </c>
      <c r="L56" s="15" t="n">
        <v>408735</v>
      </c>
      <c r="M56" s="15" t="n">
        <v>0.9213</v>
      </c>
      <c r="N56" s="15" t="s">
        <v>106</v>
      </c>
      <c r="O56" s="15" t="s">
        <v>151</v>
      </c>
    </row>
    <row r="57" customFormat="false" ht="15" hidden="false" customHeight="false" outlineLevel="0" collapsed="false">
      <c r="A57" s="15" t="s">
        <v>44</v>
      </c>
      <c r="B57" s="15" t="n">
        <v>16</v>
      </c>
      <c r="C57" s="15" t="n">
        <v>1</v>
      </c>
      <c r="D57" s="15" t="n">
        <v>1000</v>
      </c>
      <c r="E57" s="15" t="n">
        <v>5337973</v>
      </c>
      <c r="F57" s="15" t="n">
        <v>16000</v>
      </c>
      <c r="G57" s="15" t="n">
        <v>16000</v>
      </c>
      <c r="H57" s="15" t="n">
        <v>15</v>
      </c>
      <c r="I57" s="15" t="n">
        <v>1734.1</v>
      </c>
      <c r="J57" s="15" t="n">
        <v>6361</v>
      </c>
      <c r="K57" s="15" t="n">
        <v>811021</v>
      </c>
      <c r="L57" s="15" t="n">
        <v>4303675</v>
      </c>
      <c r="M57" s="15" t="n">
        <v>0.5468</v>
      </c>
      <c r="N57" s="15" t="s">
        <v>112</v>
      </c>
      <c r="O57" s="15" t="s">
        <v>152</v>
      </c>
    </row>
    <row r="58" customFormat="false" ht="15" hidden="false" customHeight="false" outlineLevel="0" collapsed="false">
      <c r="A58" s="15" t="s">
        <v>44</v>
      </c>
      <c r="B58" s="15" t="n">
        <v>16</v>
      </c>
      <c r="C58" s="15" t="n">
        <v>2</v>
      </c>
      <c r="D58" s="15" t="n">
        <v>1000</v>
      </c>
      <c r="E58" s="15" t="n">
        <v>8149556</v>
      </c>
      <c r="F58" s="15" t="n">
        <v>16000</v>
      </c>
      <c r="G58" s="15" t="n">
        <v>16000</v>
      </c>
      <c r="H58" s="15" t="n">
        <v>12</v>
      </c>
      <c r="I58" s="15" t="n">
        <v>2715</v>
      </c>
      <c r="J58" s="15" t="n">
        <v>1645</v>
      </c>
      <c r="K58" s="15" t="n">
        <v>3334299</v>
      </c>
      <c r="L58" s="15" t="n">
        <v>7834205</v>
      </c>
      <c r="M58" s="15" t="n">
        <v>0.586</v>
      </c>
      <c r="N58" s="15" t="s">
        <v>112</v>
      </c>
      <c r="O58" s="15" t="s">
        <v>153</v>
      </c>
    </row>
    <row r="59" customFormat="false" ht="15" hidden="false" customHeight="false" outlineLevel="0" collapsed="false">
      <c r="A59" s="15" t="s">
        <v>44</v>
      </c>
      <c r="B59" s="15" t="n">
        <v>16</v>
      </c>
      <c r="C59" s="15" t="n">
        <v>3</v>
      </c>
      <c r="D59" s="15" t="n">
        <v>1000</v>
      </c>
      <c r="E59" s="15" t="n">
        <v>849284074</v>
      </c>
      <c r="F59" s="15" t="n">
        <v>16000</v>
      </c>
      <c r="G59" s="15" t="n">
        <v>16000</v>
      </c>
      <c r="H59" s="15" t="n">
        <v>15</v>
      </c>
      <c r="I59" s="15" t="n">
        <v>517864</v>
      </c>
      <c r="J59" s="15" t="n">
        <v>8267598</v>
      </c>
      <c r="K59" s="15" t="n">
        <v>27268558</v>
      </c>
      <c r="L59" s="15" t="n">
        <v>849090965</v>
      </c>
      <c r="M59" s="15" t="n">
        <v>0.5606</v>
      </c>
      <c r="N59" s="15" t="s">
        <v>112</v>
      </c>
      <c r="O59" s="15" t="s">
        <v>154</v>
      </c>
    </row>
    <row r="60" customFormat="false" ht="15" hidden="false" customHeight="false" outlineLevel="0" collapsed="false">
      <c r="A60" s="15" t="s">
        <v>44</v>
      </c>
      <c r="B60" s="15" t="n">
        <v>16</v>
      </c>
      <c r="C60" s="15" t="n">
        <v>4</v>
      </c>
      <c r="D60" s="15" t="n">
        <v>1000</v>
      </c>
      <c r="E60" s="15" t="n">
        <v>4535453</v>
      </c>
      <c r="F60" s="15" t="n">
        <v>16000</v>
      </c>
      <c r="G60" s="15" t="n">
        <v>16000</v>
      </c>
      <c r="H60" s="15" t="n">
        <v>15</v>
      </c>
      <c r="I60" s="15" t="n">
        <v>1019.6</v>
      </c>
      <c r="J60" s="15" t="n">
        <v>1235</v>
      </c>
      <c r="K60" s="15" t="n">
        <v>1160682</v>
      </c>
      <c r="L60" s="15" t="n">
        <v>3954787</v>
      </c>
      <c r="M60" s="15" t="n">
        <v>0.527</v>
      </c>
      <c r="N60" s="15" t="s">
        <v>112</v>
      </c>
      <c r="O60" s="15" t="s">
        <v>155</v>
      </c>
    </row>
    <row r="61" customFormat="false" ht="15" hidden="false" customHeight="false" outlineLevel="0" collapsed="false">
      <c r="A61" s="15" t="s">
        <v>44</v>
      </c>
      <c r="B61" s="15" t="n">
        <v>16</v>
      </c>
      <c r="C61" s="15" t="n">
        <v>5</v>
      </c>
      <c r="D61" s="15" t="n">
        <v>1000</v>
      </c>
      <c r="E61" s="15" t="n">
        <v>6412667</v>
      </c>
      <c r="F61" s="15" t="n">
        <v>16000</v>
      </c>
      <c r="G61" s="15" t="n">
        <v>16000</v>
      </c>
      <c r="H61" s="15" t="n">
        <v>11</v>
      </c>
      <c r="I61" s="15" t="n">
        <v>1082.9</v>
      </c>
      <c r="J61" s="15" t="n">
        <v>1409</v>
      </c>
      <c r="K61" s="15" t="n">
        <v>4290505</v>
      </c>
      <c r="L61" s="15" t="n">
        <v>6029461</v>
      </c>
      <c r="M61" s="15" t="n">
        <v>0.5227</v>
      </c>
      <c r="N61" s="15" t="s">
        <v>112</v>
      </c>
      <c r="O61" s="15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2026-10-05T09:16:59Z</dcterms:created>
  <dc:creator>openpyxl</dc:creator>
  <dc:description/>
  <dc:language>en-US</dc:language>
  <cp:lastModifiedBy/>
  <dcterms:modified xsi:type="dcterms:W3CDTF">2026-10-05T09:16:59Z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